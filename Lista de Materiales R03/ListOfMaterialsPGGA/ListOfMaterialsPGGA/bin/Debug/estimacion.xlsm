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legom\Documents\Visual Studio 2013\Projects\ListOfMaterialsPGGA\ListOfMaterialsPGGA\bin\Debug\"/>
    </mc:Choice>
  </mc:AlternateContent>
  <bookViews>
    <workbookView xWindow="0" yWindow="0" windowWidth="28800" windowHeight="14235" activeTab="1"/>
  </bookViews>
  <sheets>
    <sheet name="CaratulaABB" sheetId="26" r:id="rId1"/>
    <sheet name="Total" sheetId="22" r:id="rId2"/>
    <sheet name="Referencia" sheetId="27" r:id="rId3"/>
    <sheet name="Q150003-10101" sheetId="28" r:id="rId4"/>
    <sheet name="Q150003-10201" sheetId="29" r:id="rId5"/>
    <sheet name="Q150003-10301" sheetId="30" r:id="rId6"/>
    <sheet name="Q150003-10401" sheetId="31" r:id="rId7"/>
    <sheet name="Q150003-10501" sheetId="32" r:id="rId8"/>
    <sheet name="Q150003-10601" sheetId="33" r:id="rId9"/>
    <sheet name="Q150003-10901" sheetId="34" r:id="rId10"/>
    <sheet name="Q150003-11001" sheetId="35" r:id="rId11"/>
    <sheet name="Q150003-11101" sheetId="36" r:id="rId12"/>
    <sheet name="Q150003-11201" sheetId="37" r:id="rId13"/>
    <sheet name="Q150003-11301" sheetId="38" r:id="rId14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3">'Q150003-10101'!$A:$A</definedName>
    <definedName name="FirstDataColumnBillOfMaterial" localSheetId="4">'Q150003-10201'!$A:$A</definedName>
    <definedName name="FirstDataColumnBillOfMaterial" localSheetId="5">'Q150003-10301'!$A:$A</definedName>
    <definedName name="FirstDataColumnBillOfMaterial" localSheetId="6">'Q150003-10401'!$A:$A</definedName>
    <definedName name="FirstDataColumnBillOfMaterial" localSheetId="7">'Q150003-10501'!$A:$A</definedName>
    <definedName name="FirstDataColumnBillOfMaterial" localSheetId="8">'Q150003-10601'!$A:$A</definedName>
    <definedName name="FirstDataColumnBillOfMaterial" localSheetId="9">'Q150003-10901'!$A:$A</definedName>
    <definedName name="FirstDataColumnBillOfMaterial" localSheetId="10">'Q150003-11001'!$A:$A</definedName>
    <definedName name="FirstDataColumnBillOfMaterial" localSheetId="11">'Q150003-11101'!$A:$A</definedName>
    <definedName name="FirstDataColumnBillOfMaterial" localSheetId="12">'Q150003-11201'!$A:$A</definedName>
    <definedName name="FirstDataColumnBillOfMaterial" localSheetId="13">'Q150003-11301'!$A:$A</definedName>
    <definedName name="FirstDataRowBillOfMaterial" localSheetId="3">'Q150003-10101'!$3:$3</definedName>
    <definedName name="FirstDataRowBillOfMaterial" localSheetId="4">'Q150003-10201'!$3:$3</definedName>
    <definedName name="FirstDataRowBillOfMaterial" localSheetId="5">'Q150003-10301'!$3:$3</definedName>
    <definedName name="FirstDataRowBillOfMaterial" localSheetId="6">'Q150003-10401'!$3:$3</definedName>
    <definedName name="FirstDataRowBillOfMaterial" localSheetId="7">'Q150003-10501'!$3:$3</definedName>
    <definedName name="FirstDataRowBillOfMaterial" localSheetId="8">'Q150003-10601'!$3:$3</definedName>
    <definedName name="FirstDataRowBillOfMaterial" localSheetId="9">'Q150003-10901'!$3:$3</definedName>
    <definedName name="FirstDataRowBillOfMaterial" localSheetId="10">'Q150003-11001'!$3:$3</definedName>
    <definedName name="FirstDataRowBillOfMaterial" localSheetId="11">'Q150003-11101'!$3:$3</definedName>
    <definedName name="FirstDataRowBillOfMaterial" localSheetId="12">'Q150003-11201'!$3:$3</definedName>
    <definedName name="FirstDataRowBillOfMaterial" localSheetId="13">'Q150003-11301'!$3:$3</definedName>
    <definedName name="_xlnm.Print_Area" localSheetId="0">CaratulaABB!$A$1:$Q$64</definedName>
    <definedName name="_xlnm.Print_Area" localSheetId="3">'Q150003-10101'!$A$2:$H$43</definedName>
    <definedName name="_xlnm.Print_Area" localSheetId="4">'Q150003-10201'!$A$2:$H$43</definedName>
    <definedName name="_xlnm.Print_Area" localSheetId="5">'Q150003-10301'!$A$2:$H$44</definedName>
    <definedName name="_xlnm.Print_Area" localSheetId="6">'Q150003-10401'!$A$2:$H$44</definedName>
    <definedName name="_xlnm.Print_Area" localSheetId="7">'Q150003-10501'!$A$2:$H$45</definedName>
    <definedName name="_xlnm.Print_Area" localSheetId="8">'Q150003-10601'!$A$2:$H$35</definedName>
    <definedName name="_xlnm.Print_Area" localSheetId="9">'Q150003-10901'!$A$2:$H$42</definedName>
    <definedName name="_xlnm.Print_Area" localSheetId="10">'Q150003-11001'!$A$2:$H$41</definedName>
    <definedName name="_xlnm.Print_Area" localSheetId="11">'Q150003-11101'!$A$2:$H$28</definedName>
    <definedName name="_xlnm.Print_Area" localSheetId="12">'Q150003-11201'!$A$2:$H$28</definedName>
    <definedName name="_xlnm.Print_Area" localSheetId="13">'Q150003-11301'!$A$2:$H$29</definedName>
    <definedName name="_xlnm.Print_Area" localSheetId="2">Referencia!$A$1:$G$8525</definedName>
    <definedName name="_xlnm.Print_Area" localSheetId="1">Total!$A$1:$N$65</definedName>
    <definedName name="_xlnm.Print_Titles" localSheetId="3">'Q150003-10101'!$2:$3</definedName>
    <definedName name="_xlnm.Print_Titles" localSheetId="4">'Q150003-10201'!$2:$3</definedName>
    <definedName name="_xlnm.Print_Titles" localSheetId="5">'Q150003-10301'!$2:$3</definedName>
    <definedName name="_xlnm.Print_Titles" localSheetId="6">'Q150003-10401'!$2:$3</definedName>
    <definedName name="_xlnm.Print_Titles" localSheetId="7">'Q150003-10501'!$2:$3</definedName>
    <definedName name="_xlnm.Print_Titles" localSheetId="8">'Q150003-10601'!$2:$3</definedName>
    <definedName name="_xlnm.Print_Titles" localSheetId="9">'Q150003-10901'!$2:$3</definedName>
    <definedName name="_xlnm.Print_Titles" localSheetId="10">'Q150003-11001'!$2:$3</definedName>
    <definedName name="_xlnm.Print_Titles" localSheetId="11">'Q150003-11101'!$2:$3</definedName>
    <definedName name="_xlnm.Print_Titles" localSheetId="12">'Q150003-11201'!$2:$3</definedName>
    <definedName name="_xlnm.Print_Titles" localSheetId="13">'Q150003-11301'!$2:$3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36" i="22" l="1"/>
  <c r="N2" i="22"/>
  <c r="J37" i="22"/>
  <c r="N3" i="22"/>
  <c r="J11" i="22"/>
  <c r="N4" i="22"/>
  <c r="J5" i="22"/>
  <c r="N5" i="22"/>
  <c r="J6" i="22"/>
  <c r="N6" i="22"/>
  <c r="N7" i="22" l="1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J15" i="22"/>
  <c r="J23" i="22"/>
  <c r="J24" i="22"/>
  <c r="J3" i="22"/>
  <c r="J20" i="22"/>
  <c r="J22" i="22"/>
  <c r="J21" i="22"/>
  <c r="J32" i="22"/>
  <c r="J26" i="22"/>
  <c r="J2" i="22"/>
  <c r="J29" i="22"/>
  <c r="J30" i="22"/>
  <c r="J28" i="22"/>
  <c r="J38" i="22"/>
  <c r="J17" i="22"/>
  <c r="J8" i="22"/>
  <c r="J9" i="22"/>
  <c r="J10" i="22"/>
  <c r="J18" i="22"/>
  <c r="J39" i="22"/>
  <c r="J40" i="22"/>
  <c r="J14" i="22"/>
  <c r="J13" i="22"/>
  <c r="J12" i="22"/>
  <c r="J16" i="22"/>
  <c r="J31" i="22"/>
  <c r="J19" i="22"/>
  <c r="J25" i="22"/>
  <c r="J33" i="22"/>
  <c r="J34" i="22"/>
  <c r="J35" i="22"/>
  <c r="J27" i="22"/>
  <c r="J4" i="22"/>
  <c r="J7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</calcChain>
</file>

<file path=xl/sharedStrings.xml><?xml version="1.0" encoding="utf-8"?>
<sst xmlns="http://schemas.openxmlformats.org/spreadsheetml/2006/main" count="46987" uniqueCount="15105">
  <si>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</si>
  <si>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</si>
  <si>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</si>
  <si>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</si>
  <si>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</si>
  <si>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</si>
  <si>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</si>
  <si>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</si>
  <si>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</si>
  <si>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</si>
  <si>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</si>
  <si>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</si>
  <si>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</si>
  <si>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</si>
  <si>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</si>
  <si>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</si>
  <si>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</si>
  <si>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</si>
  <si>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</si>
  <si>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</si>
  <si>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</si>
  <si>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</si>
  <si>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</si>
  <si>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</si>
  <si>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</si>
  <si>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</si>
  <si>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</si>
  <si>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</si>
  <si>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</si>
  <si>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</si>
  <si>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</si>
  <si>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</si>
  <si>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</si>
  <si>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</si>
  <si>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</si>
  <si>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</si>
  <si>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</si>
  <si>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</si>
  <si>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</si>
  <si>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</si>
  <si>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</si>
  <si>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</si>
  <si>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</si>
  <si>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</si>
  <si>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</si>
  <si>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</si>
  <si>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</si>
  <si>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</si>
  <si>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</si>
  <si>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</si>
  <si>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</si>
  <si>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</si>
  <si>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</si>
  <si>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</si>
  <si>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</si>
  <si>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</si>
  <si>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</si>
  <si>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</si>
  <si>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</si>
  <si>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</si>
  <si>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</si>
  <si>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</si>
  <si>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</si>
  <si>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</si>
  <si>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</si>
  <si>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</si>
  <si>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</si>
  <si>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</si>
  <si>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</si>
  <si>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</si>
  <si>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</si>
  <si>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</si>
  <si>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</si>
  <si>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</si>
  <si>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</si>
  <si>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</si>
  <si>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</si>
  <si>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</si>
  <si>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</si>
  <si>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</si>
  <si>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</si>
  <si>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</si>
  <si>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</si>
  <si>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</si>
  <si>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</si>
  <si>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</si>
  <si>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</si>
  <si>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</si>
  <si>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</si>
  <si>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</si>
  <si>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</si>
  <si>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</si>
  <si>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</si>
  <si>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</si>
  <si>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</si>
  <si>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</si>
  <si>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</si>
  <si>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</si>
  <si>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</si>
  <si>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</si>
  <si>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</si>
  <si>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</si>
  <si>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</si>
  <si>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</si>
  <si>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</si>
  <si>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</si>
  <si>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</si>
  <si>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</si>
  <si>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</si>
  <si>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</si>
  <si>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</si>
  <si>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</si>
  <si>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</si>
  <si>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</si>
  <si>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</si>
  <si>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</si>
  <si>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</si>
  <si>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</si>
  <si>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</si>
  <si>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</si>
  <si>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</si>
  <si>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</si>
  <si>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</si>
  <si>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</si>
  <si>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</si>
  <si>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</si>
  <si>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</si>
  <si>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</si>
  <si>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</si>
  <si>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</si>
  <si>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</si>
  <si>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</si>
  <si>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</si>
  <si>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</si>
  <si>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</si>
  <si>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</si>
  <si>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</si>
  <si>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</si>
  <si>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</si>
  <si>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</si>
  <si>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</si>
  <si>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</si>
  <si>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</si>
  <si>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</si>
  <si>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</si>
  <si>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</si>
  <si>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</si>
  <si>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</si>
  <si>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</si>
  <si>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</si>
  <si>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</si>
  <si>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</si>
  <si>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</si>
  <si>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</si>
  <si>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</si>
  <si>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</si>
  <si>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</si>
  <si>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</si>
  <si>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</si>
  <si>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</si>
  <si>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</si>
  <si>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</si>
  <si>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</si>
  <si>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</si>
  <si>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</si>
  <si>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</si>
  <si>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</si>
  <si>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</si>
  <si>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</si>
  <si>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</si>
  <si>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</si>
  <si>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</si>
  <si>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</si>
  <si>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</si>
  <si>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</si>
  <si>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</si>
  <si>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</si>
  <si>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</si>
  <si>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</si>
  <si>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</si>
  <si>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</si>
  <si>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</si>
  <si>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</si>
  <si>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</si>
  <si>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</si>
  <si>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</si>
  <si>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</si>
  <si>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</si>
  <si>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</si>
  <si>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</si>
  <si>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</si>
  <si>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</si>
  <si>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</si>
  <si>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</si>
  <si>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</si>
  <si>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</si>
  <si>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</si>
  <si>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</si>
  <si>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</si>
  <si>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</si>
  <si>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</si>
  <si>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</si>
  <si>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</si>
  <si>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</si>
  <si>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</si>
  <si>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</si>
  <si>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</si>
  <si>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</si>
  <si>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</si>
  <si>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</si>
  <si>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</si>
  <si>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</si>
  <si>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</si>
  <si>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</si>
  <si>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</si>
  <si>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</si>
  <si>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</si>
  <si>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</si>
  <si>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</si>
  <si>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</si>
  <si>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</si>
  <si>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</si>
  <si>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</si>
  <si>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</si>
  <si>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</si>
  <si>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</si>
  <si>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</si>
  <si>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</si>
  <si>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</si>
  <si>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</si>
  <si>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</si>
  <si>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</si>
  <si>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</si>
  <si>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</si>
  <si>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</si>
  <si>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</si>
  <si>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</si>
  <si>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</si>
  <si>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</si>
  <si>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</si>
  <si>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</si>
  <si>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</si>
  <si>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</si>
  <si>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</si>
  <si>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</si>
  <si>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</si>
  <si>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</si>
  <si>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</si>
  <si>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</si>
  <si>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</si>
  <si>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</si>
  <si>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</si>
  <si>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</si>
  <si>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</si>
  <si>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</si>
  <si>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</si>
  <si>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</si>
  <si>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</si>
  <si>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</si>
  <si>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</si>
  <si>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</si>
  <si>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</si>
  <si>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</si>
  <si>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</si>
  <si>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</si>
  <si>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</si>
  <si>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</si>
  <si>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</si>
  <si>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</si>
  <si>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</si>
  <si>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</si>
  <si>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</si>
  <si>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</si>
  <si>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</si>
  <si>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</si>
  <si>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</si>
  <si>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</si>
  <si>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</si>
  <si>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</si>
  <si>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</si>
  <si>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</si>
  <si>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</si>
  <si>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</si>
  <si>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</si>
  <si>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</si>
  <si>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</si>
  <si>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</si>
  <si>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</si>
  <si>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</si>
  <si>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</si>
  <si>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</si>
  <si>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</si>
  <si>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</si>
  <si>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</si>
  <si>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</si>
  <si>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</si>
  <si>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</si>
  <si>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</si>
  <si>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</si>
  <si>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</si>
  <si>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</si>
  <si>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</si>
  <si>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</si>
  <si>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</si>
  <si>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</si>
  <si>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</si>
  <si>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</si>
  <si>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</si>
  <si>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</si>
  <si>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</si>
  <si>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</si>
  <si>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</si>
  <si>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</si>
  <si>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</si>
  <si>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</si>
  <si>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</si>
  <si>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</si>
  <si>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</si>
  <si>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</si>
  <si>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</si>
  <si>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</si>
  <si>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</si>
  <si>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</si>
  <si>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</si>
  <si>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</si>
  <si>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</si>
  <si>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</si>
  <si>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</si>
  <si>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</si>
  <si>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</si>
  <si>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</si>
  <si>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</si>
  <si>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</si>
  <si>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</si>
  <si>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</si>
  <si>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</si>
  <si>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</si>
  <si>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</si>
  <si>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</si>
  <si>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</si>
  <si>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</si>
  <si>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</si>
  <si>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</si>
  <si>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</si>
  <si>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</si>
  <si>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</si>
  <si>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</si>
  <si>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</si>
  <si>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</si>
  <si>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</si>
  <si>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</si>
  <si>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</si>
  <si>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</si>
  <si>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</si>
  <si>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</si>
  <si>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</si>
  <si>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</si>
  <si>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</si>
  <si>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</si>
  <si>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</si>
  <si>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</si>
  <si>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</si>
  <si>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</si>
  <si>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</si>
  <si>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</si>
  <si>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</si>
  <si>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</si>
  <si>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</si>
  <si>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</si>
  <si>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</si>
  <si>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</si>
  <si>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</si>
  <si>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</si>
  <si>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</si>
  <si>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</si>
  <si>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</si>
  <si>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</si>
  <si>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</si>
  <si>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</si>
  <si>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</si>
  <si>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</si>
  <si>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</si>
  <si>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</si>
  <si>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</si>
  <si>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</si>
  <si>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</si>
  <si>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</si>
  <si>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</si>
  <si>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</si>
  <si>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</si>
  <si>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</si>
  <si>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</si>
  <si>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</si>
  <si>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</si>
  <si>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</si>
  <si>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</si>
  <si>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</si>
  <si>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</si>
  <si>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</si>
  <si>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</si>
  <si>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</si>
  <si>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</si>
  <si>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</si>
  <si>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</si>
  <si>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</si>
  <si>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</si>
  <si>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</si>
  <si>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</si>
  <si>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</si>
  <si>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</si>
  <si>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</si>
  <si>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</si>
  <si>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</si>
  <si>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</si>
  <si>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</si>
  <si>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</si>
  <si>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</si>
  <si>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</si>
  <si>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</si>
  <si>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</si>
  <si>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</si>
  <si>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</si>
  <si>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</si>
  <si>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</si>
  <si>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</si>
  <si>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</si>
  <si>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</si>
  <si>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</si>
  <si>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</si>
  <si>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</si>
  <si>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</si>
  <si>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</si>
  <si>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</si>
  <si>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</si>
  <si>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</si>
  <si>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</si>
  <si>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</si>
  <si>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</si>
  <si>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</si>
  <si>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</si>
  <si>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</si>
  <si>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</si>
  <si>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</si>
  <si>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</si>
  <si>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</si>
  <si>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</si>
  <si>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</si>
  <si>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</si>
  <si>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</si>
  <si>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</si>
  <si>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</si>
  <si>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</si>
  <si>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</si>
  <si>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</si>
  <si>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</si>
  <si>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</si>
  <si>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</si>
  <si>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</si>
  <si>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</si>
  <si>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</si>
  <si>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</si>
  <si>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</si>
  <si>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</si>
  <si>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</si>
  <si>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</si>
  <si>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</si>
  <si>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</si>
  <si>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</si>
  <si>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</si>
  <si>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</si>
  <si>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</si>
  <si>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</si>
  <si>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</si>
  <si>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</si>
  <si>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</si>
  <si>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</si>
  <si>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</si>
  <si>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</si>
  <si>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</si>
  <si>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</si>
  <si>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</si>
  <si>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</si>
  <si>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</si>
  <si>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</si>
  <si>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</si>
  <si>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</si>
  <si>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</si>
  <si>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</si>
  <si>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</si>
  <si>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</si>
  <si>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</si>
  <si>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</si>
  <si>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</si>
  <si>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</si>
  <si>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</si>
  <si>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</si>
  <si>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</si>
  <si>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</si>
  <si>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</si>
  <si>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</si>
  <si>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</si>
  <si>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</si>
  <si>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</si>
  <si>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</si>
  <si>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</si>
  <si>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</si>
  <si>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</si>
  <si>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</si>
  <si>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</si>
  <si>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</si>
  <si>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</si>
  <si>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</si>
  <si>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</si>
  <si>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</si>
  <si>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</si>
  <si>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</si>
  <si>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</si>
  <si>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</si>
  <si>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</si>
  <si>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</si>
  <si>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</si>
  <si>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</si>
  <si>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</si>
  <si>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</si>
  <si>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</si>
  <si>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</si>
  <si>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</si>
  <si>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</si>
  <si>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</si>
  <si>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</si>
  <si>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</si>
  <si>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</si>
  <si>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</si>
  <si>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</si>
  <si>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</si>
  <si>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</si>
  <si>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</si>
  <si>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</si>
  <si>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</si>
  <si>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</si>
  <si>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</si>
  <si>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</si>
  <si>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</si>
  <si>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</si>
  <si>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</si>
  <si>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</si>
  <si>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</si>
  <si>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</si>
  <si>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</si>
  <si>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</si>
  <si>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</si>
  <si>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</si>
  <si>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</si>
  <si>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</si>
  <si>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</si>
  <si>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</si>
  <si>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</si>
  <si>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</si>
  <si>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</si>
  <si>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</si>
  <si>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</si>
  <si>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</si>
  <si>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</si>
  <si>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</si>
  <si>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</si>
  <si>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</si>
  <si>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</si>
  <si>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</si>
  <si>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</si>
  <si>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</si>
  <si>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</si>
  <si>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</si>
  <si>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</si>
  <si>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</si>
  <si>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</si>
  <si>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</si>
  <si>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</si>
  <si>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</si>
  <si>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</si>
  <si>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</si>
  <si>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</si>
  <si>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</si>
  <si>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</si>
  <si>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</si>
  <si>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</si>
  <si>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</si>
  <si>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</si>
  <si>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</si>
  <si>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</si>
  <si>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</si>
  <si>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</si>
  <si>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</si>
  <si>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</si>
  <si>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</si>
  <si>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</si>
  <si>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</si>
  <si>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</si>
  <si>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</si>
  <si>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</si>
  <si>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</si>
  <si>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</si>
  <si>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</si>
  <si>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</si>
  <si>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</si>
  <si>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</si>
  <si>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</si>
  <si>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</si>
  <si>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</si>
  <si>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</si>
  <si>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</si>
  <si>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</si>
  <si>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</si>
  <si>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</si>
  <si>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</si>
  <si>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</si>
  <si>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</si>
  <si>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</si>
  <si>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</si>
  <si>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</si>
  <si>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</si>
  <si>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</si>
  <si>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</si>
  <si>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</si>
  <si>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</si>
  <si>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</si>
  <si>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</si>
  <si>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</si>
  <si>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</si>
  <si>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</si>
  <si>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</si>
  <si>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</si>
  <si>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</si>
  <si>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</si>
  <si>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</si>
  <si>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</si>
  <si>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</si>
  <si>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</si>
  <si>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</si>
  <si>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</si>
  <si>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</si>
  <si>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</si>
  <si>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</si>
  <si>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</si>
  <si>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</si>
  <si>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</si>
  <si>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</si>
  <si>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</si>
  <si>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</si>
  <si>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</si>
  <si>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</si>
  <si>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</si>
  <si>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</si>
  <si>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</si>
  <si>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</si>
  <si>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</si>
  <si>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</si>
  <si>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</si>
  <si>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</si>
  <si>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</si>
  <si>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</si>
  <si>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</si>
  <si>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</si>
  <si>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</si>
  <si>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</si>
  <si>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</si>
  <si>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</si>
  <si>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</si>
  <si>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</si>
  <si>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</si>
  <si>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</si>
  <si>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</si>
  <si>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</si>
  <si>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</si>
  <si>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</si>
  <si>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</si>
  <si>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</si>
  <si>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</si>
  <si>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</si>
  <si>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</si>
  <si>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</si>
  <si>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</si>
  <si>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</si>
  <si>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</si>
  <si>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</si>
  <si>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</si>
  <si>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</si>
  <si>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</si>
  <si>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</si>
  <si>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</si>
  <si>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</si>
  <si>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</si>
  <si>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</si>
  <si>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</si>
  <si>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</si>
  <si>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</si>
  <si>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</si>
  <si>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</si>
  <si>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</si>
  <si>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</si>
  <si>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</si>
  <si>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</si>
  <si>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</si>
  <si>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</si>
  <si>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</si>
  <si>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</si>
  <si>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</si>
  <si>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</si>
  <si>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</si>
  <si>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</si>
  <si>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</si>
  <si>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</si>
  <si>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</si>
  <si>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</si>
  <si>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</si>
  <si>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</si>
  <si>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</si>
  <si>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</si>
  <si>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</si>
  <si>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</si>
  <si>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</si>
  <si>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</si>
  <si>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</si>
  <si>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</si>
  <si>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</si>
  <si>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</si>
  <si>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</si>
  <si>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</si>
  <si>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</si>
  <si>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</si>
  <si>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</si>
  <si>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</si>
  <si>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</si>
  <si>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</si>
  <si>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</si>
  <si>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</si>
  <si>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</si>
  <si>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</si>
  <si>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</si>
  <si>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</si>
  <si>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</si>
  <si>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</si>
  <si>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</si>
  <si>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</si>
  <si>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</si>
  <si>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</si>
  <si>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</si>
  <si>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</si>
  <si>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</si>
  <si>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</si>
  <si>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</si>
  <si>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</si>
  <si>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</si>
  <si>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</si>
  <si>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</si>
  <si>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</si>
  <si>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</si>
  <si>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</si>
  <si>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</si>
  <si>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</si>
  <si>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</si>
  <si>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</si>
  <si>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</si>
  <si>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</si>
  <si>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</si>
  <si>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</si>
  <si>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</si>
  <si>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</si>
  <si>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</si>
  <si>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</si>
  <si>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</si>
  <si>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</si>
  <si>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</si>
  <si>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</si>
  <si>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</si>
  <si>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</si>
  <si>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</si>
  <si>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</si>
  <si>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</si>
  <si>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</si>
  <si>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</si>
  <si>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</si>
  <si>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</si>
  <si>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</si>
  <si>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</si>
  <si>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</si>
  <si>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</si>
  <si>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</si>
  <si>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</si>
  <si>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</si>
  <si>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</si>
  <si>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</si>
  <si>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</si>
  <si>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</si>
  <si>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</si>
  <si>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</si>
  <si>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</si>
  <si>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</si>
  <si>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</si>
  <si>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</si>
  <si>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</si>
  <si>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</si>
  <si>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</si>
  <si>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</si>
  <si>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</si>
  <si>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</si>
  <si>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</si>
  <si>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</si>
  <si>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</si>
  <si>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</si>
  <si>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</si>
  <si>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</si>
  <si>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</si>
  <si>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</si>
  <si>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</si>
  <si>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</si>
  <si>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</si>
  <si>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</si>
  <si>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</si>
  <si>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</si>
  <si>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</si>
  <si>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</si>
  <si>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</si>
  <si>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</si>
  <si>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</si>
  <si>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</si>
  <si>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</si>
  <si>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</si>
  <si>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</si>
  <si>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</si>
  <si>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</si>
  <si>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</si>
  <si>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</si>
  <si>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</si>
  <si>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</si>
  <si>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</si>
  <si>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</si>
  <si>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</si>
  <si>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</si>
  <si>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</si>
  <si>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</si>
  <si>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</si>
  <si>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</si>
  <si>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</si>
  <si>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</si>
  <si>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</si>
  <si>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</si>
  <si>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</si>
  <si>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</si>
  <si>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</si>
  <si>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</si>
  <si>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</si>
  <si>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</si>
  <si>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</si>
  <si>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</si>
  <si>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</si>
  <si>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</si>
  <si>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</si>
  <si>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</si>
  <si>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</si>
  <si>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</si>
  <si>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</si>
  <si>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</si>
  <si>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</si>
  <si>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</si>
  <si>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</si>
  <si>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</si>
  <si>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</si>
  <si>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</si>
  <si>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</si>
  <si>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</si>
  <si>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</si>
  <si>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</si>
  <si>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</si>
  <si>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</si>
  <si>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</si>
  <si>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</si>
  <si>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</si>
  <si>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</si>
  <si>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</si>
  <si>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</si>
  <si>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</si>
  <si>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</si>
  <si>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</si>
  <si>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</si>
  <si>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</si>
  <si>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</si>
  <si>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</si>
  <si>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</si>
  <si>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</si>
  <si>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</si>
  <si>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</si>
  <si>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</si>
  <si>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</si>
  <si>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</si>
  <si>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</si>
  <si>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</si>
  <si>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</si>
  <si>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</si>
  <si>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</si>
  <si>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</si>
  <si>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</si>
  <si>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</si>
  <si>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</si>
  <si>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</si>
  <si>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</si>
  <si>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</si>
  <si>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</si>
  <si>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</si>
  <si>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</si>
  <si>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</si>
  <si>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</si>
  <si>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</si>
  <si>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</si>
  <si>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</si>
  <si>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</si>
  <si>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</si>
  <si>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</si>
  <si>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</si>
  <si>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</si>
  <si>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</si>
  <si>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</si>
  <si>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</si>
  <si>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</si>
  <si>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</si>
  <si>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</si>
  <si>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</si>
  <si>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</si>
  <si>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</si>
  <si>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</si>
  <si>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</si>
  <si>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</si>
  <si>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</si>
  <si>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</si>
  <si>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</si>
  <si>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</si>
  <si>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</si>
  <si>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</si>
  <si>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</si>
  <si>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</si>
  <si>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</si>
  <si>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</si>
  <si>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</si>
  <si>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</si>
  <si>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</si>
  <si>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</si>
  <si>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</si>
  <si>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</si>
  <si>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</si>
  <si>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</si>
  <si>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</si>
  <si>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</si>
  <si>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</si>
  <si>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</si>
  <si>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</si>
  <si>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</si>
  <si>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</si>
  <si>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</si>
  <si>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</si>
  <si>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</si>
  <si>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</si>
  <si>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</si>
  <si>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</si>
  <si>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</si>
  <si>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</si>
  <si>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</si>
  <si>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</si>
  <si>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</si>
  <si>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</si>
  <si>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</si>
  <si>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</si>
  <si>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</si>
  <si>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</si>
  <si>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</si>
  <si>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</si>
  <si>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</si>
  <si>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</si>
  <si>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</si>
  <si>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</si>
  <si>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</si>
  <si>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</si>
  <si>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</si>
  <si>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</si>
  <si>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</si>
  <si>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</si>
  <si>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</si>
  <si>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</si>
  <si>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</si>
  <si>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</si>
  <si>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</si>
  <si>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</si>
  <si>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</si>
  <si>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</si>
  <si>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</si>
  <si>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</si>
  <si>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</si>
  <si>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</si>
  <si>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</si>
  <si>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</si>
  <si>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</si>
  <si>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</si>
  <si>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</si>
  <si>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</si>
  <si>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</si>
  <si>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</si>
  <si>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</si>
  <si>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</si>
  <si>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</si>
  <si>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</si>
  <si>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</si>
  <si>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</si>
  <si>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</si>
  <si>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</si>
  <si>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</si>
  <si>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</si>
  <si>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</si>
  <si>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</si>
  <si>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</si>
  <si>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</si>
  <si>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</si>
  <si>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</si>
  <si>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</si>
  <si>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</si>
  <si>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</si>
  <si>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</si>
  <si>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</si>
  <si>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</si>
  <si>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</si>
  <si>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</si>
  <si>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</si>
  <si>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</si>
  <si>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</si>
  <si>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</si>
  <si>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</si>
  <si>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</si>
  <si>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</si>
  <si>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</si>
  <si>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</si>
  <si>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</si>
  <si>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</si>
  <si>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</si>
  <si>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</si>
  <si>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</si>
  <si>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</si>
  <si>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</si>
  <si>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</si>
  <si>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</si>
  <si>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</si>
  <si>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</si>
  <si>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</si>
  <si>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</si>
  <si>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</si>
  <si>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</si>
  <si>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</si>
  <si>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</si>
  <si>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</si>
  <si>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</si>
  <si>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</si>
  <si>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</si>
  <si>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</si>
  <si>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</si>
  <si>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</si>
  <si>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</si>
  <si>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</si>
  <si>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</si>
  <si>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</si>
  <si>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</si>
  <si>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</si>
  <si>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</si>
  <si>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</si>
  <si>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</si>
  <si>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</si>
  <si>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</si>
  <si>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</si>
  <si>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</si>
  <si>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</si>
  <si>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</si>
  <si>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</si>
  <si>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</si>
  <si>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</si>
  <si>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</si>
  <si>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</si>
  <si>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</si>
  <si>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</si>
  <si>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</si>
  <si>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</si>
  <si>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</si>
  <si>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</si>
  <si>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</si>
  <si>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</si>
  <si>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</si>
  <si>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</si>
  <si>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</si>
  <si>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</si>
  <si>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</si>
  <si>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</si>
  <si>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</si>
  <si>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</si>
  <si>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</si>
  <si>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</si>
  <si>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</si>
  <si>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</si>
  <si>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</si>
  <si>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</si>
  <si>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</si>
  <si>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</si>
  <si>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</si>
  <si>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</si>
  <si>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</si>
  <si>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</si>
  <si>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</si>
  <si>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</si>
  <si>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</si>
  <si>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</si>
  <si>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</si>
  <si>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</si>
  <si>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</si>
  <si>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</si>
  <si>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</si>
  <si>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</si>
  <si>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</si>
  <si>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</si>
  <si>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</si>
  <si>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</si>
  <si>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</si>
  <si>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</si>
  <si>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</si>
  <si>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</si>
  <si>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</si>
  <si>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</si>
  <si>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</si>
  <si>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</si>
  <si>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</si>
  <si>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</si>
  <si>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</si>
  <si>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</si>
  <si>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</si>
  <si>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</si>
  <si>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</si>
  <si>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</si>
  <si>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</si>
  <si>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</si>
  <si>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</si>
  <si>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</si>
  <si>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</si>
  <si>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</si>
  <si>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</si>
  <si>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</si>
  <si>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</si>
  <si>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</si>
  <si>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</si>
  <si>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</si>
  <si>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</si>
  <si>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</si>
  <si>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</si>
  <si>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</si>
  <si>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</si>
  <si>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</si>
  <si>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</si>
  <si>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</si>
  <si>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</si>
  <si>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</si>
  <si>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</si>
  <si>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</si>
  <si>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</si>
  <si>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</si>
  <si>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</si>
  <si>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</si>
  <si>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</si>
  <si>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</si>
  <si>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</si>
  <si>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</si>
  <si>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</si>
  <si>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</si>
  <si>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</si>
  <si>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</si>
  <si>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</si>
  <si>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</si>
  <si>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</si>
  <si>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</si>
  <si>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</si>
  <si>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</si>
  <si>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</si>
  <si>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</si>
  <si>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</si>
  <si>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</si>
  <si>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</si>
  <si>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</si>
  <si>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</si>
  <si>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</si>
  <si>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</si>
  <si>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</si>
  <si>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</si>
  <si>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</si>
  <si>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</si>
  <si>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</si>
  <si>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</si>
  <si>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</si>
  <si>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</si>
  <si>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</si>
  <si>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</si>
  <si>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</si>
  <si>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</si>
  <si>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</si>
  <si>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</si>
  <si>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</si>
  <si>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</si>
  <si>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</si>
  <si>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</si>
  <si>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</si>
  <si>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</si>
  <si>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</si>
  <si>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</si>
  <si>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</si>
  <si>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</si>
  <si>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</si>
  <si>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</si>
  <si>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</si>
  <si>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</si>
  <si>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</si>
  <si>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</si>
  <si>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</si>
  <si>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</si>
  <si>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</si>
  <si>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</si>
  <si>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</si>
  <si>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</si>
  <si>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</si>
  <si>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</si>
  <si>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</si>
  <si>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</si>
  <si>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</si>
  <si>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</si>
  <si>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</si>
  <si>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</si>
  <si>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</si>
  <si>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</si>
  <si>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</si>
  <si>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</si>
  <si>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</si>
  <si>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</si>
  <si>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</si>
  <si>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</si>
  <si>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</si>
  <si>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</si>
  <si>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</si>
  <si>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</si>
  <si>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</si>
  <si>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</si>
  <si>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</si>
  <si>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</si>
  <si>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</si>
  <si>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</si>
  <si>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</si>
  <si>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</si>
  <si>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</si>
  <si>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</si>
  <si>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</si>
  <si>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</si>
  <si>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</si>
  <si>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</si>
  <si>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</si>
  <si>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</si>
  <si>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</si>
  <si>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</si>
  <si>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</si>
  <si>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</si>
  <si>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</si>
  <si>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</si>
  <si>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</si>
  <si>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</si>
  <si>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</si>
  <si>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</si>
  <si>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</si>
  <si>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</si>
  <si>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</si>
  <si>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</si>
  <si>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</si>
  <si>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</si>
  <si>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</si>
  <si>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</si>
  <si>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</si>
  <si>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</si>
  <si>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</si>
  <si>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</si>
  <si>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</si>
  <si>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</si>
  <si>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</si>
  <si>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</si>
  <si>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</si>
  <si>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</si>
  <si>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</si>
  <si>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</si>
  <si>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</si>
  <si>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</si>
  <si>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</si>
  <si>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</si>
  <si>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</si>
  <si>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</si>
  <si>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</si>
  <si>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</si>
  <si>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</si>
  <si>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</si>
  <si>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</si>
  <si>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</si>
  <si>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</si>
  <si>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</si>
  <si>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</si>
  <si>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</si>
  <si>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</si>
  <si>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</si>
  <si>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</si>
  <si>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</si>
  <si>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</si>
  <si>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</si>
  <si>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</si>
  <si>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</si>
  <si>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</si>
  <si>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</si>
  <si>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</si>
  <si>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</si>
  <si>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</si>
  <si>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</si>
  <si>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</si>
  <si>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</si>
  <si>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</si>
  <si>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</si>
  <si>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</si>
  <si>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</si>
  <si>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</si>
  <si>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</si>
  <si>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</si>
  <si>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</si>
  <si>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</si>
  <si>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</si>
  <si>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</si>
  <si>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</si>
  <si>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</si>
  <si>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</si>
  <si>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</si>
  <si>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</si>
  <si>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</si>
  <si>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</si>
  <si>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</si>
  <si>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</si>
  <si>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</si>
  <si>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</si>
  <si>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</si>
  <si>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</si>
  <si>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</si>
  <si>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</si>
  <si>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</si>
  <si>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</si>
  <si>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</si>
  <si>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</si>
  <si>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</si>
  <si>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</si>
  <si>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</si>
  <si>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</si>
  <si>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</si>
  <si>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</si>
  <si>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</si>
  <si>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</si>
  <si>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</si>
  <si>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</si>
  <si>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</si>
  <si>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</si>
  <si>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</si>
  <si>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</si>
  <si>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</si>
  <si>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</si>
  <si>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</si>
  <si>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</si>
  <si>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</si>
  <si>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</si>
  <si>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</si>
  <si>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</si>
  <si>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</si>
  <si>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</si>
  <si>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</si>
  <si>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</si>
  <si>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</si>
  <si>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</si>
  <si>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</si>
  <si>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</si>
  <si>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</si>
  <si>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</si>
  <si>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</si>
  <si>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</si>
  <si>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</si>
  <si>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</si>
  <si>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</si>
  <si>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</si>
  <si>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</si>
  <si>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</si>
  <si>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</si>
  <si>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</si>
  <si>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</si>
  <si>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</si>
  <si>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</si>
  <si>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</si>
  <si>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</si>
  <si>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</si>
  <si>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</si>
  <si>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</si>
  <si>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</si>
  <si>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</si>
  <si>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</si>
  <si>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</si>
  <si>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</si>
  <si>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</si>
  <si>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</si>
  <si>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</si>
  <si>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</si>
  <si>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</si>
  <si>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</si>
  <si>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</si>
  <si>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</si>
  <si>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</si>
  <si>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</si>
  <si>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</si>
  <si>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</si>
  <si>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</si>
  <si>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</si>
  <si>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</si>
  <si>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</si>
  <si>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</si>
  <si>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</si>
  <si>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</si>
  <si>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</si>
  <si>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</si>
  <si>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</si>
  <si>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</si>
  <si>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</si>
  <si>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</si>
  <si>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</si>
  <si>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</si>
  <si>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</si>
  <si>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</si>
  <si>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</si>
  <si>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</si>
  <si>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</si>
  <si>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</si>
  <si>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</si>
  <si>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</si>
  <si>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</si>
  <si>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</si>
  <si>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</si>
  <si>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</si>
  <si>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</si>
  <si>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</si>
  <si>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</si>
  <si>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</si>
  <si>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</si>
  <si>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</si>
  <si>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</si>
  <si>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</si>
  <si>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</si>
  <si>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</si>
  <si>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</si>
  <si>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</si>
  <si>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</si>
  <si>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</si>
  <si>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</si>
  <si>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</si>
  <si>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</si>
  <si>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</si>
  <si>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</si>
  <si>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</si>
  <si>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</si>
  <si>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</si>
  <si>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</si>
  <si>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</si>
  <si>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</si>
  <si>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</si>
  <si>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</si>
  <si>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</si>
  <si>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</si>
  <si>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</si>
  <si>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</si>
  <si>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</si>
  <si>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</si>
  <si>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</si>
  <si>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</si>
  <si>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</si>
  <si>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</si>
  <si>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</si>
  <si>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</si>
  <si>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</si>
  <si>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</si>
  <si>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</si>
  <si>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</si>
  <si>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</si>
  <si>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</si>
  <si>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</si>
  <si>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</si>
  <si>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</si>
  <si>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</si>
  <si>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</si>
  <si>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</si>
  <si>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</si>
  <si>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</si>
  <si>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</si>
  <si>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</si>
  <si>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</si>
  <si>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</si>
  <si>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</si>
  <si>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</si>
  <si>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</si>
  <si>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</si>
  <si>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</si>
  <si>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</si>
  <si>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</si>
  <si>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</si>
  <si>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</si>
  <si>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</si>
  <si>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</si>
  <si>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</si>
  <si>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</si>
  <si>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</si>
  <si>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</si>
  <si>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</si>
  <si>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</si>
  <si>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</si>
  <si>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</si>
  <si>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</si>
  <si>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</si>
  <si>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</si>
  <si>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</si>
  <si>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</si>
  <si>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</si>
  <si>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</si>
  <si>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</si>
  <si>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</si>
  <si>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</si>
  <si>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</si>
  <si>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</si>
  <si>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</si>
  <si>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</si>
  <si>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</si>
  <si>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</si>
  <si>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</si>
  <si>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</si>
  <si>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</si>
  <si>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</si>
  <si>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</si>
  <si>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</si>
  <si>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</si>
  <si>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</si>
  <si>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</si>
  <si>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</si>
  <si>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</si>
  <si>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</si>
  <si>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</si>
  <si>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</si>
  <si>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</si>
  <si>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</si>
  <si>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</si>
  <si>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</si>
  <si>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</si>
  <si>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</si>
  <si>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</si>
  <si>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</si>
  <si>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</si>
  <si>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</si>
  <si>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</si>
  <si>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</si>
  <si>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</si>
  <si>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</si>
  <si>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</si>
  <si>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</si>
  <si>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</si>
  <si>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</si>
  <si>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</si>
  <si>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</si>
  <si>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</si>
  <si>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</si>
  <si>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</si>
  <si>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</si>
  <si>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</si>
  <si>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</si>
  <si>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</si>
  <si>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</si>
  <si>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</si>
  <si>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</si>
  <si>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</si>
  <si>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</si>
  <si>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</si>
  <si>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</si>
  <si>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</si>
  <si>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</si>
  <si>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</si>
  <si>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</si>
  <si>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</si>
  <si>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</si>
  <si>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</si>
  <si>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</si>
  <si>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</si>
  <si>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</si>
  <si>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</si>
  <si>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</si>
  <si>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</si>
  <si>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</si>
  <si>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</si>
  <si>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</si>
  <si>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</si>
  <si>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</si>
  <si>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</si>
  <si>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</si>
  <si>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</si>
  <si>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</si>
  <si>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</si>
  <si>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</si>
  <si>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</si>
  <si>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</si>
  <si>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</si>
  <si>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</si>
  <si>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</si>
  <si>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</si>
  <si>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</si>
  <si>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</si>
  <si>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</si>
  <si>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</si>
  <si>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</si>
  <si>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</si>
  <si>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</si>
  <si>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</si>
  <si>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</si>
  <si>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</si>
  <si>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</si>
  <si>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</si>
  <si>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</si>
  <si>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</si>
  <si>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</si>
  <si>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</si>
  <si>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</si>
  <si>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</si>
  <si>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</si>
  <si>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</si>
  <si>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</si>
  <si>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</si>
  <si>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</si>
  <si>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</si>
  <si>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</si>
  <si>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</si>
  <si>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</si>
  <si>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</si>
  <si>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</si>
  <si>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</si>
  <si>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</si>
  <si>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</si>
  <si>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</si>
  <si>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</si>
  <si>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</si>
  <si>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</si>
  <si>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</si>
  <si>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</si>
  <si>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</si>
  <si>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</si>
  <si>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</si>
  <si>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</si>
  <si>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</si>
  <si>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</si>
  <si>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</si>
  <si>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</si>
  <si>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</si>
  <si>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</si>
  <si>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</si>
  <si>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</si>
  <si>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</si>
  <si>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</si>
  <si>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</si>
  <si>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</si>
  <si>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</si>
  <si>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</si>
  <si>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</si>
  <si>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</si>
  <si>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</si>
  <si>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</si>
  <si>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</si>
  <si>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</si>
  <si>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</si>
  <si>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</si>
  <si>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</si>
  <si>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</si>
  <si>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</si>
  <si>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</si>
  <si>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</si>
  <si>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</si>
  <si>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</si>
  <si>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</si>
  <si>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</si>
  <si>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</si>
  <si>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</si>
  <si>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</si>
  <si>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</si>
  <si>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</si>
  <si>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</si>
  <si>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</si>
  <si>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</si>
  <si>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</si>
  <si>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</si>
  <si>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</si>
  <si>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</si>
  <si>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</si>
  <si>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</si>
  <si>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</si>
  <si>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</si>
  <si>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</si>
  <si>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</si>
  <si>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</si>
  <si>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</si>
  <si>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</si>
  <si>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</si>
  <si>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</si>
  <si>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</si>
  <si>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</si>
  <si>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</si>
  <si>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</si>
  <si>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</si>
  <si>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</si>
  <si>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</si>
  <si>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</si>
  <si>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</si>
  <si>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</si>
  <si>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</si>
  <si>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</si>
  <si>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</si>
  <si>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</si>
  <si>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</si>
  <si>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</si>
  <si>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</si>
  <si>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</si>
  <si>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</si>
  <si>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</si>
  <si>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</si>
  <si>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</si>
  <si>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</si>
  <si>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</si>
  <si>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</si>
  <si>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</si>
  <si>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</si>
  <si>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</si>
  <si>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</si>
  <si>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</si>
  <si>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</si>
  <si>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</si>
  <si>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</si>
  <si>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</si>
  <si>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</si>
  <si>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</si>
  <si>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</si>
  <si>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</si>
  <si>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</si>
  <si>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</si>
  <si>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</si>
  <si>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</si>
  <si>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</si>
  <si>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</si>
  <si>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</si>
  <si>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</si>
  <si>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</si>
  <si>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</si>
  <si>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</si>
  <si>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</si>
  <si>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</si>
  <si>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</si>
  <si>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</si>
  <si>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</si>
  <si>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</si>
  <si>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</si>
  <si>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</si>
  <si>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</si>
  <si>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</si>
  <si>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</si>
  <si>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</si>
  <si>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</si>
  <si>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</si>
  <si>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</si>
  <si>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</si>
  <si>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</si>
  <si>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</si>
  <si>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</si>
  <si>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</si>
  <si>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</si>
  <si>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</si>
  <si>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</si>
  <si>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</si>
  <si>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</si>
  <si>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</si>
  <si>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</si>
  <si>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</si>
  <si>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</si>
  <si>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</si>
  <si>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</si>
  <si>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</si>
  <si>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</si>
  <si>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</si>
  <si>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</si>
  <si>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</si>
  <si>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</si>
  <si>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</si>
  <si>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</si>
  <si>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</si>
  <si>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</si>
  <si>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</si>
  <si>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</si>
  <si>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</si>
  <si>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</si>
  <si>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</si>
  <si>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</si>
  <si>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</si>
  <si>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</si>
  <si>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</si>
  <si>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</si>
  <si>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</si>
  <si>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</si>
  <si>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</si>
  <si>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</si>
  <si>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</si>
  <si>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</si>
  <si>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</si>
  <si>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</si>
  <si>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</si>
  <si>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</si>
  <si>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</si>
  <si>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</si>
  <si>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</si>
  <si>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</si>
  <si>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</si>
  <si>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</si>
  <si>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</si>
  <si>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</si>
  <si>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</si>
  <si>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</si>
  <si>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</si>
  <si>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</si>
  <si>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</si>
  <si>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</si>
  <si>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</si>
  <si>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</si>
  <si>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</si>
  <si>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</si>
  <si>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</si>
  <si>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</si>
  <si>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</si>
  <si>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</si>
  <si>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</si>
  <si>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</si>
  <si>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</si>
  <si>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</si>
  <si>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</si>
  <si>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</si>
  <si>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</si>
  <si>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</si>
  <si>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</si>
  <si>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</si>
  <si>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</si>
  <si>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</si>
  <si>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</si>
  <si>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</si>
  <si>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</si>
  <si>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</si>
  <si>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</si>
  <si>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</si>
  <si>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</si>
  <si>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</si>
  <si>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</si>
  <si>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</si>
  <si>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</si>
  <si>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</si>
  <si>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</si>
  <si>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</si>
  <si>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</si>
  <si>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</si>
  <si>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</si>
  <si>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</si>
  <si>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</si>
  <si>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</si>
  <si>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</si>
  <si>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</si>
  <si>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</si>
  <si>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</si>
  <si>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</si>
  <si>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</si>
  <si>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</si>
  <si>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</si>
  <si>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</si>
  <si>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</si>
  <si>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</si>
  <si>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</si>
  <si>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</si>
  <si>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</si>
  <si>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</si>
  <si>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</si>
  <si>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</si>
  <si>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</si>
  <si>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</si>
  <si>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</si>
  <si>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</si>
  <si>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</si>
  <si>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</si>
  <si>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</si>
  <si>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</si>
  <si>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</si>
  <si>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</si>
  <si>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</si>
  <si>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</si>
  <si>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</si>
  <si>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</si>
  <si>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</si>
  <si>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</si>
  <si>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</si>
  <si>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</si>
  <si>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</si>
  <si>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</si>
  <si>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</si>
  <si>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</si>
  <si>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</si>
  <si>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</si>
  <si>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</si>
  <si>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</si>
  <si>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</si>
  <si>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</si>
  <si>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</si>
  <si>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</si>
  <si>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</si>
  <si>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</si>
  <si>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</si>
  <si>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</si>
  <si>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</si>
  <si>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</si>
  <si>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</si>
  <si>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</si>
  <si>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</si>
  <si>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</si>
  <si>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</si>
  <si>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</si>
  <si>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</si>
  <si>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</si>
  <si>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</si>
  <si>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</si>
  <si>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</si>
  <si>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</si>
  <si>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</si>
  <si>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</si>
  <si>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</si>
  <si>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</si>
  <si>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</si>
  <si>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</si>
  <si>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</si>
  <si>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</si>
  <si>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</si>
  <si>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</si>
  <si>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</si>
  <si>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</si>
  <si>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</si>
  <si>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</si>
  <si>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</si>
  <si>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</si>
  <si>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</si>
  <si>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</si>
  <si>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</si>
  <si>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</si>
  <si>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</si>
  <si>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</si>
  <si>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</si>
  <si>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</si>
  <si>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</si>
  <si>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</si>
  <si>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</si>
  <si>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</si>
  <si>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</si>
  <si>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</si>
  <si>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</si>
  <si>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</si>
  <si>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</si>
  <si>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</si>
  <si>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</si>
  <si>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</si>
  <si>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</si>
  <si>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</si>
  <si>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</si>
  <si>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</si>
  <si>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</si>
  <si>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</si>
  <si>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</si>
  <si>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</si>
  <si>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</si>
  <si>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</si>
  <si>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</si>
  <si>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</si>
  <si>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</si>
  <si>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</si>
  <si>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</si>
  <si>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</si>
  <si>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</si>
  <si>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</si>
  <si>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</si>
  <si>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</si>
  <si>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</si>
  <si>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</si>
  <si>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</si>
  <si>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</si>
  <si>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</si>
  <si>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</si>
  <si>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</si>
  <si>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</si>
  <si>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</si>
  <si>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</si>
  <si>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</si>
  <si>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</si>
  <si>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</si>
  <si>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</si>
  <si>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</si>
  <si>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</si>
  <si>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</si>
  <si>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</si>
  <si>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</si>
  <si>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</si>
  <si>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</si>
  <si>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</si>
  <si>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</si>
  <si>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</si>
  <si>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</si>
  <si>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</si>
  <si>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</si>
  <si>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</si>
  <si>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</si>
  <si>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</si>
  <si>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</si>
  <si>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</si>
  <si>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</si>
  <si>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</si>
  <si>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</si>
  <si>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</si>
  <si>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</si>
  <si>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</si>
  <si>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</si>
  <si>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</si>
  <si>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</si>
  <si>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</si>
  <si>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</si>
  <si>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</si>
  <si>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</si>
  <si>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</si>
  <si>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</si>
  <si>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</si>
  <si>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</si>
  <si>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</si>
  <si>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</si>
  <si>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</si>
  <si>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</si>
  <si>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</si>
  <si>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</si>
  <si>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</si>
  <si>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</si>
  <si>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</si>
  <si>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</si>
  <si>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</si>
  <si>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</si>
  <si>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</si>
  <si>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</si>
  <si>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</si>
  <si>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</si>
  <si>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</si>
  <si>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</si>
  <si>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</si>
  <si>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</si>
  <si>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</si>
  <si>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</si>
  <si>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</si>
  <si>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</si>
  <si>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</si>
  <si>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</si>
  <si>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</si>
  <si>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</si>
  <si>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</si>
  <si>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</si>
  <si>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</si>
  <si>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</si>
  <si>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</si>
  <si>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</si>
  <si>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</si>
  <si>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</si>
  <si>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</si>
  <si>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</si>
  <si>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</si>
  <si>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</si>
  <si>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</si>
  <si>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</si>
  <si>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</si>
  <si>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</si>
  <si>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</si>
  <si>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</si>
  <si>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</si>
  <si>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</si>
  <si>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</si>
  <si>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</si>
  <si>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</si>
  <si>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</si>
  <si>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</si>
  <si>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</si>
  <si>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</si>
  <si>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</si>
  <si>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</si>
  <si>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</si>
  <si>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</si>
  <si>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</si>
  <si>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</si>
  <si>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</si>
  <si>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</si>
  <si>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</si>
  <si>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</si>
  <si>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</si>
  <si>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</si>
  <si>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</si>
  <si>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</si>
  <si>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</si>
  <si>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</si>
  <si>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</si>
  <si>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</si>
  <si>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</si>
  <si>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</si>
  <si>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</si>
  <si>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</si>
  <si>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</si>
  <si>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</si>
  <si>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</si>
  <si>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</si>
  <si>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</si>
  <si>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</si>
  <si>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</si>
  <si>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</si>
  <si>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</si>
  <si>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</si>
  <si>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</si>
  <si>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</si>
  <si>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</si>
  <si>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</si>
  <si>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</si>
  <si>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</si>
  <si>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</si>
  <si>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</si>
  <si>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</si>
  <si>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</si>
  <si>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</si>
  <si>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</si>
  <si>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</si>
  <si>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</si>
  <si>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</si>
  <si>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</si>
  <si>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</si>
  <si>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</si>
  <si>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</si>
  <si>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</si>
  <si>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</si>
  <si>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</si>
  <si>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</si>
  <si>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</si>
  <si>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</si>
  <si>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</si>
  <si>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</si>
  <si>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</si>
  <si>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</si>
  <si>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</si>
  <si>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</si>
  <si>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</si>
  <si>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</si>
  <si>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</si>
  <si>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</si>
  <si>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</si>
  <si>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</si>
  <si>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</si>
  <si>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</si>
  <si>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</si>
  <si>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</si>
  <si>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</si>
  <si>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</si>
  <si>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</si>
  <si>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</si>
  <si>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</si>
  <si>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</si>
  <si>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</si>
  <si>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</si>
  <si>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</si>
  <si>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</si>
  <si>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</si>
  <si>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</si>
  <si>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</si>
  <si>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</si>
  <si>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</si>
  <si>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</si>
  <si>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</si>
  <si>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</si>
  <si>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</si>
  <si>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</si>
  <si>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</si>
  <si>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</si>
  <si>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</si>
  <si>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</si>
  <si>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</si>
  <si>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</si>
  <si>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</si>
  <si>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</si>
  <si>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</si>
  <si>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</si>
  <si>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</si>
  <si>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</si>
  <si>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</si>
  <si>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</si>
  <si>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</si>
  <si>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</si>
  <si>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</si>
  <si>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</si>
  <si>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</si>
  <si>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</si>
  <si>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</si>
  <si>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</si>
  <si>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</si>
  <si>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</si>
  <si>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</si>
  <si>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</si>
  <si>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</si>
  <si>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</si>
  <si>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</si>
  <si>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</si>
  <si>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</si>
  <si>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</si>
  <si>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</si>
  <si>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</si>
  <si>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</si>
  <si>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</si>
  <si>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</si>
  <si>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</si>
  <si>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</si>
  <si>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</si>
  <si>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</si>
  <si>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</si>
  <si>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</si>
  <si>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</si>
  <si>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</si>
  <si>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</si>
  <si>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</si>
  <si>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</si>
  <si>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</si>
  <si>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</si>
  <si>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</si>
  <si>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</si>
  <si>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</si>
  <si>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</si>
  <si>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</si>
  <si>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</si>
  <si>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</si>
  <si>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</si>
  <si>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</si>
  <si>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</si>
  <si>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</si>
  <si>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</si>
  <si>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</si>
  <si>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</si>
  <si>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</si>
  <si>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</si>
  <si>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</si>
  <si>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</si>
  <si>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</si>
  <si>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</si>
  <si>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</si>
  <si>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</si>
  <si>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</si>
  <si>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</si>
  <si>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</si>
  <si>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</si>
  <si>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</si>
  <si>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</si>
  <si>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</si>
  <si>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</si>
  <si>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</si>
  <si>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</si>
  <si>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</si>
  <si>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</si>
  <si>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</si>
  <si>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</si>
  <si>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</si>
  <si>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</si>
  <si>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</si>
  <si>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</si>
  <si>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</si>
  <si>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</si>
  <si>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</si>
  <si>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</si>
  <si>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</si>
  <si>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</si>
  <si>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</si>
  <si>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</si>
  <si>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</si>
  <si>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</si>
  <si>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</si>
  <si>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</si>
  <si>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</si>
  <si>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</si>
  <si>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</si>
  <si>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</si>
  <si>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</si>
  <si>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</si>
  <si>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</si>
  <si>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</si>
  <si>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</si>
  <si>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</si>
  <si>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</si>
  <si>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</si>
  <si>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</si>
  <si>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</si>
  <si>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</si>
  <si>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</si>
  <si>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</si>
  <si>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</si>
  <si>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</si>
  <si>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</si>
  <si>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</si>
  <si>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</si>
  <si>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</si>
  <si>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</si>
  <si>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</si>
  <si>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</si>
  <si>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</si>
  <si>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</si>
  <si>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</si>
  <si>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</si>
  <si>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</si>
  <si>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</si>
  <si>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</si>
  <si>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</si>
  <si>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</si>
  <si>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</si>
  <si>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</si>
  <si>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</si>
  <si>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</si>
  <si>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</si>
  <si>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</si>
  <si>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</si>
  <si>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</si>
  <si>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</si>
  <si>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</si>
  <si>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</si>
  <si>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</si>
  <si>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</si>
  <si>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</si>
  <si>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</si>
  <si>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</si>
  <si>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</si>
  <si>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</si>
  <si>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</si>
  <si>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</si>
  <si>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</si>
  <si>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</si>
  <si>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</si>
  <si>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</si>
  <si>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</si>
  <si>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</si>
  <si>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</si>
  <si>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</si>
  <si>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</si>
  <si>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</si>
  <si>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</si>
  <si>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</si>
  <si>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</si>
  <si>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</si>
  <si>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</si>
  <si>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</si>
  <si>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</si>
  <si>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</si>
  <si>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</si>
  <si>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</si>
  <si>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</si>
  <si>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</si>
  <si>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</si>
  <si>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</si>
  <si>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</si>
  <si>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</si>
  <si>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</si>
  <si>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</si>
  <si>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</si>
  <si>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</si>
  <si>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</si>
  <si>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</si>
  <si>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</si>
  <si>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</si>
  <si>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</si>
  <si>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</si>
  <si>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</si>
  <si>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</si>
  <si>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</si>
  <si>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</si>
  <si>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</si>
  <si>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</si>
  <si>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</si>
  <si>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</si>
  <si>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</si>
  <si>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</si>
  <si>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</si>
  <si>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</si>
  <si>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</si>
  <si>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</si>
  <si>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</si>
  <si>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</si>
  <si>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</si>
  <si>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</si>
  <si>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</si>
  <si>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</si>
  <si>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</si>
  <si>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</si>
  <si>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</si>
  <si>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</si>
  <si>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</si>
  <si>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</si>
  <si>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</si>
  <si>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</si>
  <si>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</si>
  <si>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</si>
  <si>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</si>
  <si>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</si>
  <si>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</si>
  <si>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</si>
  <si>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</si>
  <si>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</si>
  <si>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</si>
  <si>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</si>
  <si>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</si>
  <si>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</si>
  <si>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</si>
  <si>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</si>
  <si>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</si>
  <si>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</si>
  <si>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</si>
  <si>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</si>
  <si>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</si>
  <si>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</si>
  <si>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</si>
  <si>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</si>
  <si>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</si>
  <si>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</si>
  <si>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</si>
  <si>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</si>
  <si>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</si>
  <si>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</si>
  <si>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</si>
  <si>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</si>
  <si>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</si>
  <si>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</si>
  <si>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</si>
  <si>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</si>
  <si>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</si>
  <si>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</si>
  <si>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</si>
  <si>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</si>
  <si>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</si>
  <si>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</si>
  <si>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</si>
  <si>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</si>
  <si>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</si>
  <si>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</si>
  <si>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</si>
  <si>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</si>
  <si>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</si>
  <si>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</si>
  <si>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</si>
  <si>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</si>
  <si>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</si>
  <si>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</si>
  <si>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</si>
  <si>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</si>
  <si>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</si>
  <si>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</si>
  <si>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</si>
  <si>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</si>
  <si>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</si>
  <si>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</si>
  <si>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</si>
  <si>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</si>
  <si>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</si>
  <si>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</si>
  <si>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</si>
  <si>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</si>
  <si>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</si>
  <si>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</si>
  <si>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</si>
  <si>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</si>
  <si>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</si>
  <si>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</si>
  <si>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</si>
  <si>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</si>
  <si>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</si>
  <si>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</si>
  <si>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</si>
  <si>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</si>
  <si>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</si>
  <si>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</si>
  <si>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</si>
  <si>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</si>
  <si>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</si>
  <si>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</si>
  <si>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</si>
  <si>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</si>
  <si>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</si>
  <si>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</si>
  <si>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</si>
  <si>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</si>
  <si>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</si>
  <si>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</si>
  <si>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</si>
  <si>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</si>
  <si>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</si>
  <si>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</si>
  <si>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</si>
  <si>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</si>
  <si>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</si>
  <si>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</si>
  <si>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</si>
  <si>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</si>
  <si>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</si>
  <si>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</si>
  <si>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</si>
  <si>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</si>
  <si>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</si>
  <si>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</si>
  <si>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</si>
  <si>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</si>
  <si>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</si>
  <si>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</si>
  <si>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</si>
  <si>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</si>
  <si>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</si>
  <si>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</si>
  <si>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</si>
  <si>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</si>
  <si>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</si>
  <si>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</si>
  <si>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</si>
  <si>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</si>
  <si>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</si>
  <si>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</si>
  <si>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</si>
  <si>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</si>
  <si>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</si>
  <si>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</si>
  <si>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</si>
  <si>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</si>
  <si>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</si>
  <si>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</si>
  <si>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</si>
  <si>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</si>
  <si>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</si>
  <si>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</si>
  <si>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</si>
  <si>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</si>
  <si>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</si>
  <si>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</si>
  <si>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</si>
  <si>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</si>
  <si>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</si>
  <si>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</si>
  <si>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</si>
  <si>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</si>
  <si>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</si>
  <si>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</si>
  <si>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</si>
  <si>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</si>
  <si>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</si>
  <si>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</si>
  <si>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</si>
  <si>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</si>
  <si>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</si>
  <si>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</si>
  <si>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</si>
  <si>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</si>
  <si>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</si>
  <si>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</si>
  <si>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</si>
  <si>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</si>
  <si>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</si>
  <si>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</si>
  <si>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</si>
  <si>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</si>
  <si>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</si>
  <si>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</si>
  <si>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</si>
  <si>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</si>
  <si>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</si>
  <si>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</si>
  <si>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</si>
  <si>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</si>
  <si>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</si>
  <si>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</si>
  <si>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</si>
  <si>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</si>
  <si>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</si>
  <si>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</si>
  <si>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</si>
  <si>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</si>
  <si>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</si>
  <si>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</si>
  <si>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</si>
  <si>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</si>
  <si>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</si>
  <si>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</si>
  <si>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</si>
  <si>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</si>
  <si>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</si>
  <si>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</si>
  <si>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</si>
  <si>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</si>
  <si>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</si>
  <si>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</si>
  <si>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</si>
  <si>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</si>
  <si>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</si>
  <si>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</si>
  <si>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</si>
  <si>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</si>
  <si>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</si>
  <si>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</si>
  <si>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</si>
  <si>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</si>
  <si>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</si>
  <si>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</si>
  <si>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</si>
  <si>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</si>
  <si>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</si>
  <si>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</si>
  <si>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</si>
  <si>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</si>
  <si>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</si>
  <si>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</si>
  <si>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</si>
  <si>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</si>
  <si>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</si>
  <si>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</si>
  <si>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</si>
  <si>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</si>
  <si>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</si>
  <si>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</si>
  <si>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</si>
  <si>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</si>
  <si>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</si>
  <si>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</si>
  <si>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</si>
  <si>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</si>
  <si>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</si>
  <si>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</si>
  <si>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</si>
  <si>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</si>
  <si>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</si>
  <si>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</si>
  <si>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</si>
  <si>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</si>
  <si>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</si>
  <si>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</si>
  <si>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</si>
  <si>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</si>
  <si>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</si>
  <si>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</si>
  <si>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</si>
  <si>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</si>
  <si>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</si>
  <si>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</si>
  <si>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</si>
  <si>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</si>
  <si>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</si>
  <si>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</si>
  <si>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</si>
  <si>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</si>
  <si>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</si>
  <si>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</si>
  <si>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</si>
  <si>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</si>
  <si>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</si>
  <si>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</si>
  <si>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</si>
  <si>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</si>
  <si>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</si>
  <si>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</si>
  <si>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</si>
  <si>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</si>
  <si>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</si>
  <si>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</si>
  <si>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</si>
  <si>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</si>
  <si>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</si>
  <si>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</si>
  <si>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</si>
  <si>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</si>
  <si>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</si>
  <si>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</si>
  <si>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</si>
  <si>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</si>
  <si>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</si>
  <si>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</si>
  <si>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</si>
  <si>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</si>
  <si>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</si>
  <si>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</si>
  <si>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</si>
  <si>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</si>
  <si>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</si>
  <si>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</si>
  <si>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</si>
  <si>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</si>
  <si>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</si>
  <si>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</si>
  <si>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</si>
  <si>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</si>
  <si>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</si>
  <si>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</si>
  <si>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</si>
  <si>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</si>
  <si>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</si>
  <si>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</si>
  <si>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</si>
  <si>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</si>
  <si>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</si>
  <si>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</si>
  <si>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</si>
  <si>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</si>
  <si>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</si>
  <si>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</si>
  <si>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</si>
  <si>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</si>
  <si>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</si>
  <si>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</si>
  <si>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</si>
  <si>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</si>
  <si>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</si>
  <si>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</si>
  <si>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</si>
  <si>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</si>
  <si>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</si>
  <si>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</si>
  <si>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</si>
  <si>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</si>
  <si>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</si>
  <si>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</si>
  <si>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</si>
  <si>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</si>
  <si>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</si>
  <si>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</si>
  <si>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</si>
  <si>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</si>
  <si>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</si>
  <si>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</si>
  <si>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</si>
  <si>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</si>
  <si>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</si>
  <si>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</si>
  <si>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</si>
  <si>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</si>
  <si>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</si>
  <si>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</si>
  <si>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</si>
  <si>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</si>
  <si>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</si>
  <si>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</si>
  <si>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</si>
  <si>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</si>
  <si>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</si>
  <si>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</si>
  <si>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</si>
  <si>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</si>
  <si>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</si>
  <si>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</si>
  <si>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</si>
  <si>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</si>
  <si>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</si>
  <si>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</si>
  <si>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</si>
  <si>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</si>
  <si>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</si>
  <si>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</si>
  <si>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</si>
  <si>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</si>
  <si>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</si>
  <si>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</si>
  <si>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</si>
  <si>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</si>
  <si>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</si>
  <si>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</si>
  <si>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</si>
  <si>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</si>
  <si>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</si>
  <si>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</si>
  <si>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</si>
  <si>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</si>
  <si>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</si>
  <si>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</si>
  <si>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</si>
  <si>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</si>
  <si>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</si>
  <si>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</si>
  <si>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</si>
  <si>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</si>
  <si>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</si>
  <si>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</si>
  <si>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</si>
  <si>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</si>
  <si>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</si>
  <si>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</si>
  <si>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</si>
  <si>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</si>
  <si>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</si>
  <si>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</si>
  <si>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</si>
  <si>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</si>
  <si>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</si>
  <si>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</si>
  <si>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</si>
  <si>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</si>
  <si>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</si>
  <si>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</si>
  <si>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</si>
  <si>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</si>
  <si>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</si>
  <si>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</si>
  <si>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</si>
  <si>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</si>
  <si>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</si>
  <si>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</si>
  <si>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</si>
  <si>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</si>
  <si>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</si>
  <si>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</si>
  <si>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</si>
  <si>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</si>
  <si>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</si>
  <si>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</si>
  <si>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</si>
  <si>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</si>
  <si>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</si>
  <si>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</si>
  <si>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</si>
  <si>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</si>
  <si>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</si>
  <si>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</si>
  <si>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</si>
  <si>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</si>
  <si>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</si>
  <si>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</si>
  <si>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</si>
  <si>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</si>
  <si>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</si>
  <si>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</si>
  <si>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</si>
  <si>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</si>
  <si>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</si>
  <si>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</si>
  <si>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</si>
  <si>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</si>
  <si>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</si>
  <si>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</si>
  <si>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</si>
  <si>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</si>
  <si>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</si>
  <si>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</si>
  <si>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</si>
  <si>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</si>
  <si>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</si>
  <si>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</si>
  <si>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</si>
  <si>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</si>
  <si>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</si>
  <si>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</si>
  <si>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</si>
  <si>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</si>
  <si>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</si>
  <si>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</si>
  <si>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</si>
  <si>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</si>
  <si>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</si>
  <si>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</si>
  <si>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</si>
  <si>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</si>
  <si>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</si>
  <si>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</si>
  <si>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</si>
  <si>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</si>
  <si>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</si>
  <si>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</si>
  <si>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</si>
  <si>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</si>
  <si>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</si>
  <si>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</si>
  <si>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</si>
  <si>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</si>
  <si>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</si>
  <si>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</si>
  <si>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</si>
  <si>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</si>
  <si>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</si>
  <si>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</si>
  <si>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</si>
  <si>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</si>
  <si>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</si>
  <si>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</si>
  <si>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</si>
  <si>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</si>
  <si>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</si>
  <si>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</si>
  <si>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</si>
  <si>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</si>
  <si>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</si>
  <si>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</si>
  <si>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</si>
  <si>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</si>
  <si>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</si>
  <si>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</si>
  <si>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</si>
  <si>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</si>
  <si>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</si>
  <si>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</si>
  <si>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</si>
  <si>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</si>
  <si>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</si>
  <si>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</si>
  <si>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</si>
  <si>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</si>
  <si>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</si>
  <si>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</si>
  <si>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</si>
  <si>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</si>
  <si>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</si>
  <si>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</si>
  <si>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</si>
  <si>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</si>
  <si>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</si>
  <si>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</si>
  <si>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</si>
  <si>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</si>
  <si>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</si>
  <si>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</si>
  <si>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</si>
  <si>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</si>
  <si>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</si>
  <si>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</si>
  <si>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</si>
  <si>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</si>
  <si>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</si>
  <si>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</si>
  <si>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</si>
  <si>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</si>
  <si>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</si>
  <si>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</si>
  <si>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</si>
  <si>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</si>
  <si>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</si>
  <si>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</si>
  <si>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</si>
  <si>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</si>
  <si>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</si>
  <si>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</si>
  <si>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</si>
  <si>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</si>
  <si>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</si>
  <si>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</si>
  <si>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</si>
  <si>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</si>
  <si>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</si>
  <si>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</si>
  <si>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</si>
  <si>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</si>
  <si>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</si>
  <si>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</si>
  <si>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</si>
  <si>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</si>
  <si>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</si>
  <si>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</si>
  <si>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</si>
  <si>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</si>
  <si>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</si>
  <si>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</si>
  <si>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</si>
  <si>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</si>
  <si>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</si>
  <si>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</si>
  <si>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</si>
  <si>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</si>
  <si>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</si>
  <si>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</si>
  <si>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</si>
  <si>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</si>
  <si>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</si>
  <si>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</si>
  <si>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</si>
  <si>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</si>
  <si>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</si>
  <si>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</si>
  <si>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</si>
  <si>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</si>
  <si>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</si>
  <si>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</si>
  <si>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</si>
  <si>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</si>
  <si>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</si>
  <si>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</si>
  <si>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</si>
  <si>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</si>
  <si>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</si>
  <si>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</si>
  <si>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</si>
  <si>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</si>
  <si>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</si>
  <si>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</si>
  <si>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</si>
  <si>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</si>
  <si>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</si>
  <si>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</si>
  <si>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</si>
  <si>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</si>
  <si>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</si>
  <si>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</si>
  <si>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</si>
  <si>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</si>
  <si>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</si>
  <si>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</si>
  <si>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</si>
  <si>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</si>
  <si>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</si>
  <si>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</si>
  <si>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</si>
  <si>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</si>
  <si>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</si>
  <si>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</si>
  <si>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</si>
  <si>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</si>
  <si>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</si>
  <si>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</si>
  <si>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</si>
  <si>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</si>
  <si>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</si>
  <si>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</si>
  <si>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</si>
  <si>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</si>
  <si>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</si>
  <si>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</si>
  <si>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</si>
  <si>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</si>
  <si>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</si>
  <si>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</si>
  <si>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</si>
  <si>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</si>
  <si>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</si>
  <si>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</si>
  <si>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</si>
  <si>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</si>
  <si>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</si>
  <si>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</si>
  <si>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</si>
  <si>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</si>
  <si>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</si>
  <si>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</si>
  <si>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</si>
  <si>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</si>
  <si>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</si>
  <si>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</si>
  <si>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</si>
  <si>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</si>
  <si>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</si>
  <si>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</si>
  <si>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</si>
  <si>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</si>
  <si>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</si>
  <si>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</si>
  <si>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</si>
  <si>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</si>
  <si>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</si>
  <si>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</si>
  <si>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</si>
  <si>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</si>
  <si>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</si>
  <si>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</si>
  <si>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</si>
  <si>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</si>
  <si>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</si>
  <si>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</si>
  <si>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</si>
  <si>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</si>
  <si>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</si>
  <si>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</si>
  <si>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</si>
  <si>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</si>
  <si>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</si>
  <si>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</si>
  <si>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</si>
  <si>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</si>
  <si>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</si>
  <si>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</si>
  <si>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</si>
  <si>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</si>
  <si>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</si>
  <si>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</si>
  <si>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</si>
  <si>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</si>
  <si>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</si>
  <si>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</si>
  <si>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</si>
  <si>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</si>
  <si>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</si>
  <si>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</si>
  <si>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</si>
  <si>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</si>
  <si>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</si>
  <si>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</si>
  <si>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</si>
  <si>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</si>
  <si>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</si>
  <si>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</si>
  <si>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</si>
  <si>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</si>
  <si>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</si>
  <si>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</si>
  <si>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</si>
  <si>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</si>
  <si>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</si>
  <si>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</si>
  <si>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</si>
  <si>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</si>
  <si>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</si>
  <si>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</si>
  <si>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</si>
  <si>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</si>
  <si>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</si>
  <si>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</si>
  <si>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</si>
  <si>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</si>
  <si>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</si>
  <si>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</si>
  <si>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</si>
  <si>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</si>
  <si>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</si>
  <si>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</si>
  <si>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</si>
  <si>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</si>
  <si>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</si>
  <si>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</si>
  <si>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</si>
  <si>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</si>
  <si>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</si>
  <si>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</si>
  <si>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</si>
  <si>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</si>
  <si>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</si>
  <si>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</si>
  <si>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</si>
  <si>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</si>
  <si>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</si>
  <si>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</si>
  <si>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</si>
  <si>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</si>
  <si>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</si>
  <si>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</si>
  <si>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</si>
  <si>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</si>
  <si>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</si>
  <si>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</si>
  <si>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</si>
  <si>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</si>
  <si>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</si>
  <si>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</si>
  <si>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</si>
  <si>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</si>
  <si>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</si>
  <si>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</si>
  <si>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</si>
  <si>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</si>
  <si>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</si>
  <si>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</si>
  <si>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</si>
  <si>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</si>
  <si>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</si>
  <si>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</si>
  <si>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</si>
  <si>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</si>
  <si>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</si>
  <si>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</si>
  <si>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</si>
  <si>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</si>
  <si>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</si>
  <si>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</si>
  <si>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</si>
  <si>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</si>
  <si>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</si>
  <si>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</si>
  <si>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</si>
  <si>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</si>
  <si>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</si>
  <si>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</si>
  <si>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</si>
  <si>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</si>
  <si>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</si>
  <si>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</si>
  <si>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</si>
  <si>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</si>
  <si>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</si>
  <si>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</si>
  <si>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</si>
  <si>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</si>
  <si>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</si>
  <si>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</si>
  <si>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</si>
  <si>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</si>
  <si>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</si>
  <si>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</si>
  <si>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</si>
  <si>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</si>
  <si>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</si>
  <si>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</si>
  <si>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</si>
  <si>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</si>
  <si>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</si>
  <si>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</si>
  <si>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</si>
  <si>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</si>
  <si>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</si>
  <si>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</si>
  <si>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</si>
  <si>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</si>
  <si>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</si>
  <si>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</si>
  <si>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</si>
  <si>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</si>
  <si>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</si>
  <si>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</si>
  <si>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</si>
  <si>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</si>
  <si>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</si>
  <si>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</si>
  <si>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</si>
  <si>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</si>
  <si>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</si>
  <si>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</si>
  <si>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</si>
  <si>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</si>
  <si>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</si>
  <si>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</si>
  <si>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</si>
  <si>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</si>
  <si>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</si>
  <si>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</si>
  <si>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</si>
  <si>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</si>
  <si>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</si>
  <si>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</si>
  <si>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</si>
  <si>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</si>
  <si>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</si>
  <si>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</si>
  <si>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</si>
  <si>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</si>
  <si>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</si>
  <si>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</si>
  <si>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</si>
  <si>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</si>
  <si>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</si>
  <si>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</si>
  <si>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</si>
  <si>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</si>
  <si>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</si>
  <si>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</si>
  <si>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</si>
  <si>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</si>
  <si>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</si>
  <si>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</si>
  <si>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</si>
  <si>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</si>
  <si>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</si>
  <si>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</si>
  <si>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</si>
  <si>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</si>
  <si>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</si>
  <si>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</si>
  <si>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</si>
  <si>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</si>
  <si>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</si>
  <si>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</si>
  <si>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</si>
  <si>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</si>
  <si>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</si>
  <si>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</si>
  <si>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</si>
  <si>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</si>
  <si>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</si>
  <si>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</si>
  <si>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</si>
  <si>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</si>
  <si>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</si>
  <si>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</si>
  <si>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</si>
  <si>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</si>
  <si>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</si>
  <si>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</si>
  <si>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</si>
  <si>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</si>
  <si>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</si>
  <si>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</si>
  <si>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</si>
  <si>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</si>
  <si>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</si>
  <si>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</si>
  <si>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</si>
  <si>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</si>
  <si>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</si>
  <si>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</si>
  <si>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</si>
  <si>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</si>
  <si>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</si>
  <si>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</si>
  <si>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</si>
  <si>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</si>
  <si>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</si>
  <si>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</si>
  <si>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</si>
  <si>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</si>
  <si>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</si>
  <si>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</si>
  <si>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</si>
  <si>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</si>
  <si>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</si>
  <si>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</si>
  <si>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</si>
  <si>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</si>
  <si>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</si>
  <si>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</si>
  <si>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</si>
  <si>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</si>
  <si>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</si>
  <si>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</si>
  <si>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</si>
  <si>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</si>
  <si>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</si>
  <si>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</si>
  <si>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</si>
  <si>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</si>
  <si>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</si>
  <si>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</si>
  <si>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</si>
  <si>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</si>
  <si>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</si>
  <si>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</si>
  <si>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</si>
  <si>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</si>
  <si>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</si>
  <si>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</si>
  <si>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</si>
  <si>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</si>
  <si>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</si>
  <si>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</si>
  <si>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</si>
  <si>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</si>
  <si>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</si>
  <si>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</si>
  <si>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</si>
  <si>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</si>
  <si>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</si>
  <si>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</si>
  <si>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</si>
  <si>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</si>
  <si>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</si>
  <si>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</si>
  <si>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</si>
  <si>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</si>
  <si>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</si>
  <si>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</si>
  <si>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</si>
  <si>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</si>
  <si>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</si>
  <si>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</si>
  <si>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</si>
  <si>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</si>
  <si>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</si>
  <si>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</si>
  <si>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</si>
  <si>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</si>
  <si>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</si>
  <si>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</si>
  <si>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</si>
  <si>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</si>
  <si>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</si>
  <si>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</si>
  <si>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</si>
  <si>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</si>
  <si>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</si>
  <si>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</si>
  <si>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</si>
  <si>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</si>
  <si>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</si>
  <si>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</si>
  <si>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</si>
  <si>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</si>
  <si>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</si>
  <si>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</si>
  <si>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</si>
  <si>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</si>
  <si>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</si>
  <si>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</si>
  <si>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</si>
  <si>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</si>
  <si>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</si>
  <si>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</si>
  <si>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</si>
  <si>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</si>
  <si>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</si>
  <si>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</si>
  <si>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</si>
  <si>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</si>
  <si>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</si>
  <si>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</si>
  <si>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</si>
  <si>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</si>
  <si>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</si>
  <si>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</si>
  <si>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</si>
  <si>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</si>
  <si>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</si>
  <si>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</si>
  <si>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</si>
  <si>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</si>
  <si>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</si>
  <si>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</si>
  <si>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</si>
  <si>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</si>
  <si>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</si>
  <si>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</si>
  <si>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</si>
  <si>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</si>
  <si>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</si>
  <si>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</si>
  <si>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</si>
  <si>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</si>
  <si>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</si>
  <si>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</si>
  <si>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</si>
  <si>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</si>
  <si>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</si>
  <si>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</si>
  <si>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</si>
  <si>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</si>
  <si>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</si>
  <si>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</si>
  <si>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</si>
  <si>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</si>
  <si>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</si>
  <si>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</si>
  <si>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</si>
  <si>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</si>
  <si>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</si>
  <si>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</si>
  <si>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</si>
  <si>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</si>
  <si>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</si>
  <si>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</si>
  <si>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</si>
  <si>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</si>
  <si>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</si>
  <si>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</si>
  <si>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</si>
  <si>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</si>
  <si>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</si>
  <si>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</si>
  <si>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</si>
  <si>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</si>
  <si>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</si>
  <si>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</si>
  <si>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</si>
  <si>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</si>
  <si>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</si>
  <si>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</si>
  <si>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</si>
  <si>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</si>
  <si>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</si>
  <si>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</si>
  <si>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</si>
  <si>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</si>
  <si>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</si>
  <si>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</si>
  <si>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</si>
  <si>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</si>
  <si>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</si>
  <si>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</si>
  <si>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</si>
  <si>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</si>
  <si>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</si>
  <si>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</si>
  <si>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</si>
  <si>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</si>
  <si>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</si>
  <si>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</si>
  <si>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</si>
  <si>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</si>
  <si>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</si>
  <si>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</si>
  <si>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</si>
  <si>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</si>
  <si>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</si>
  <si>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</si>
  <si>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</si>
  <si>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</si>
  <si>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</si>
  <si>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</si>
  <si>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</si>
  <si>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</si>
  <si>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</si>
  <si>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</si>
  <si>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</si>
  <si>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</si>
  <si>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</si>
  <si>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</si>
  <si>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</si>
  <si>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</si>
  <si>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</si>
  <si>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</si>
  <si>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</si>
  <si>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</si>
  <si>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</si>
  <si>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</si>
  <si>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</si>
  <si>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</si>
  <si>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</si>
  <si>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</si>
  <si>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</si>
  <si>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</si>
  <si>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</si>
  <si>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</si>
  <si>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</si>
  <si>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</si>
  <si>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</si>
  <si>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</si>
  <si>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</si>
  <si>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</si>
  <si>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</si>
  <si>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</si>
  <si>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</si>
  <si>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</si>
  <si>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</si>
  <si>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</si>
  <si>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</si>
  <si>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</si>
  <si>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</si>
  <si>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</si>
  <si>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</si>
  <si>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</si>
  <si>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</si>
  <si>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</si>
  <si>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</si>
  <si>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</si>
  <si>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</si>
  <si>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</si>
  <si>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</si>
  <si>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</si>
  <si>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</si>
  <si>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</si>
  <si>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</si>
  <si>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</si>
  <si>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</si>
  <si>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</si>
  <si>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</si>
  <si>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</si>
  <si>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</si>
  <si>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</si>
  <si>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</si>
  <si>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</si>
  <si>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</si>
  <si>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</si>
  <si>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</si>
  <si>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</si>
  <si>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</si>
  <si>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</si>
  <si>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</si>
  <si>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</si>
  <si>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</si>
  <si>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</si>
  <si>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</si>
  <si>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</si>
  <si>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</si>
  <si>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</si>
  <si>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</si>
  <si>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</si>
  <si>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</si>
  <si>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</si>
  <si>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</si>
  <si>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</si>
  <si>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</si>
  <si>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</si>
  <si>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</si>
  <si>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</si>
  <si>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</si>
  <si>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</si>
  <si>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</si>
  <si>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</si>
  <si>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</si>
  <si>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</si>
  <si>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</si>
  <si>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</si>
  <si>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</si>
  <si>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</si>
  <si>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</si>
  <si>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</si>
  <si>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</si>
  <si>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</si>
  <si>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</si>
  <si>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</si>
  <si>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</si>
  <si>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</si>
  <si>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</si>
  <si>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</si>
  <si>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</si>
  <si>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</si>
  <si>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</si>
  <si>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</si>
  <si>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</si>
  <si>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</si>
  <si>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</si>
  <si>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</si>
  <si>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</si>
  <si>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</si>
  <si>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</si>
  <si>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</si>
  <si>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</si>
  <si>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</si>
  <si>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</si>
  <si>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</si>
  <si>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</si>
  <si>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</si>
  <si>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</si>
  <si>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</si>
  <si>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</si>
  <si>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</si>
  <si>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</si>
  <si>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</si>
  <si>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</si>
  <si>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</si>
  <si>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</si>
  <si>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</si>
  <si>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</si>
  <si>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</si>
  <si>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</si>
  <si>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</si>
  <si>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</si>
  <si>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</si>
  <si>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</si>
  <si>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</si>
  <si>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</si>
  <si>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</si>
  <si>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</si>
  <si>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</si>
  <si>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</si>
  <si>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</si>
  <si>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</si>
  <si>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</si>
  <si>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</si>
  <si>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</si>
  <si>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</si>
  <si>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</si>
  <si>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</si>
  <si>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</si>
  <si>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</si>
  <si>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</si>
  <si>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</si>
  <si>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</si>
  <si>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</si>
  <si>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</si>
  <si>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</si>
  <si>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</si>
  <si>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</si>
  <si>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</si>
  <si>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</si>
  <si>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</si>
  <si>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</si>
  <si>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</si>
  <si>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</si>
  <si>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</si>
  <si>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</si>
  <si>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</si>
  <si>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</si>
  <si>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</si>
  <si>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</si>
  <si>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</si>
  <si>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</si>
  <si>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</si>
  <si>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</si>
  <si>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</si>
  <si>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</si>
  <si>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</si>
  <si>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</si>
  <si>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</si>
  <si>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</si>
  <si>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</si>
  <si>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</si>
  <si>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</si>
  <si>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</si>
  <si>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</si>
  <si>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</si>
  <si>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</si>
  <si>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</si>
  <si>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</si>
  <si>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</si>
  <si>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</si>
  <si>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</si>
  <si>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</si>
  <si>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</si>
  <si>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</si>
  <si>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</si>
  <si>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</si>
  <si>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</si>
  <si>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</si>
  <si>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</si>
  <si>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</si>
  <si>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</si>
  <si>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</si>
  <si>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</si>
  <si>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</si>
  <si>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</si>
  <si>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</si>
  <si>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</si>
  <si>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</si>
  <si>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</si>
  <si>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</si>
  <si>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</si>
  <si>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</si>
  <si>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</si>
  <si>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</si>
  <si>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</si>
  <si>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</si>
  <si>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</si>
  <si>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</si>
  <si>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</si>
  <si>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</si>
  <si>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</si>
  <si>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</si>
  <si>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</si>
  <si>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</si>
  <si>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</si>
  <si>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</si>
  <si>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</si>
  <si>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</si>
  <si>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</si>
  <si>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</si>
  <si>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</si>
  <si>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</si>
  <si>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</si>
  <si>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</si>
  <si>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</si>
  <si>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</si>
  <si>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</si>
  <si>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</si>
  <si>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</si>
  <si>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</si>
  <si>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</si>
  <si>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</si>
  <si>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</si>
  <si>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</si>
  <si>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</si>
  <si>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</si>
  <si>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</si>
  <si>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</si>
  <si>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</si>
  <si>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</si>
  <si>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</si>
  <si>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</si>
  <si>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</si>
  <si>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</si>
  <si>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</si>
  <si>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</si>
  <si>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</si>
  <si>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</si>
  <si>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</si>
  <si>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</si>
  <si>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</si>
  <si>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</si>
  <si>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</si>
  <si>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</si>
  <si>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</si>
  <si>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</si>
  <si>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</si>
  <si>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</si>
  <si>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</si>
  <si>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</si>
  <si>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</si>
  <si>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</si>
  <si>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</si>
  <si>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</si>
  <si>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</si>
  <si>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</si>
  <si>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</si>
  <si>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</si>
  <si>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</si>
  <si>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</si>
  <si>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</si>
  <si>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</si>
  <si>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</si>
  <si>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</si>
  <si>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</si>
  <si>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</si>
  <si>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</si>
  <si>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</si>
  <si>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</si>
  <si>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</si>
  <si>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</si>
  <si>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</si>
  <si>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</si>
  <si>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</si>
  <si>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</si>
  <si>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</si>
  <si>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</si>
  <si>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</si>
  <si>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</si>
  <si>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</si>
  <si>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</si>
  <si>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</si>
  <si>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</si>
  <si>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</si>
  <si>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</si>
  <si>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</si>
  <si>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</si>
  <si>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</si>
  <si>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</si>
  <si>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</si>
  <si>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</si>
  <si>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</si>
  <si>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</si>
  <si>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</si>
  <si>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</si>
  <si>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</si>
  <si>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</si>
  <si>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</si>
  <si>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</si>
  <si>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</si>
  <si>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</si>
  <si>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</si>
  <si>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</si>
  <si>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</si>
  <si>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</si>
  <si>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</si>
  <si>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</si>
  <si>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</si>
  <si>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</si>
  <si>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</si>
  <si>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</si>
  <si>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</si>
  <si>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</si>
  <si>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</si>
  <si>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</si>
  <si>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</si>
  <si>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</si>
  <si>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</si>
  <si>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</si>
  <si>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</si>
  <si>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</si>
  <si>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</si>
  <si>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</si>
  <si>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</si>
  <si>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</si>
  <si>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</si>
  <si>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</si>
  <si>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</si>
  <si>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</si>
  <si>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</si>
  <si>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</si>
  <si>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</si>
  <si>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</si>
  <si>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</si>
  <si>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</si>
  <si>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</si>
  <si>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</si>
  <si>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</si>
  <si>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</si>
  <si>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</si>
  <si>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</si>
  <si>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</si>
  <si>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</si>
  <si>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</si>
  <si>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</si>
  <si>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</si>
  <si>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</si>
  <si>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</si>
  <si>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</si>
  <si>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</si>
  <si>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</si>
  <si>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</si>
  <si>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</si>
  <si>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</si>
  <si>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</si>
  <si>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</si>
  <si>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</si>
  <si>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</si>
  <si>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</si>
  <si>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</si>
  <si>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</si>
  <si>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</si>
  <si>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</si>
  <si>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</si>
  <si>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</si>
  <si>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</si>
  <si>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</si>
  <si>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</si>
  <si>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</si>
  <si>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</si>
  <si>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</si>
  <si>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</si>
  <si>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</si>
  <si>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</si>
  <si>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</si>
  <si>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</si>
  <si>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</si>
  <si>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</si>
  <si>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</si>
  <si>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</si>
  <si>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</si>
  <si>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</si>
  <si>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</si>
  <si>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</si>
  <si>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</si>
  <si>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</si>
  <si>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</si>
  <si>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</si>
  <si>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</si>
  <si>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</si>
  <si>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</si>
  <si>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</si>
  <si>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</si>
  <si>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</si>
  <si>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</si>
  <si>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</si>
  <si>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</si>
  <si>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</si>
  <si>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</si>
  <si>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</si>
  <si>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</si>
  <si>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</si>
  <si>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</si>
  <si>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</si>
  <si>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</si>
  <si>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</si>
  <si>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</si>
  <si>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</si>
  <si>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</si>
  <si>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</si>
  <si>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</si>
  <si>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</si>
  <si>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</si>
  <si>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</si>
  <si>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</si>
  <si>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</si>
  <si>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</si>
  <si>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</si>
  <si>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</si>
  <si>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</si>
  <si>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</si>
  <si>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</si>
  <si>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</si>
  <si>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</si>
  <si>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</si>
  <si>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</si>
  <si>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</si>
  <si>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</si>
  <si>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</si>
  <si>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</si>
  <si>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</si>
  <si>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</si>
  <si>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</si>
  <si>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</si>
  <si>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</si>
  <si>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</si>
  <si>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</si>
  <si>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</si>
  <si>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</si>
  <si>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</si>
  <si>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</si>
  <si>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</si>
  <si>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</si>
  <si>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</si>
  <si>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</si>
  <si>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</si>
  <si>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</si>
  <si>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</si>
  <si>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</si>
  <si>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</si>
  <si>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</si>
  <si>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</si>
  <si>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</si>
  <si>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</si>
  <si>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</si>
  <si>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</si>
  <si>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</si>
  <si>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</si>
  <si>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</si>
  <si>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</si>
  <si>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</si>
  <si>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</si>
  <si>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</si>
  <si>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</si>
  <si>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</si>
  <si>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</si>
  <si>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</si>
  <si>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</si>
  <si>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</si>
  <si>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</si>
  <si>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</si>
  <si>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</si>
  <si>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</si>
  <si>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</si>
  <si>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</si>
  <si>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</si>
  <si>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</si>
  <si>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</si>
  <si>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</si>
  <si>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</si>
  <si>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</si>
  <si>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</si>
  <si>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</si>
  <si>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</si>
  <si>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</si>
  <si>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</si>
  <si>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</si>
  <si>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</si>
  <si>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</si>
  <si>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</si>
  <si>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</si>
  <si>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</si>
  <si>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</si>
  <si>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</si>
  <si>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</si>
  <si>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</si>
  <si>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</si>
  <si>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</si>
  <si>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</si>
  <si>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</si>
  <si>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</si>
  <si>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</si>
  <si>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</si>
  <si>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</si>
  <si>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</si>
  <si>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</si>
  <si>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</si>
  <si>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</si>
  <si>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</si>
  <si>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</si>
  <si>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</si>
  <si>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</si>
  <si>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</si>
  <si>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</si>
  <si>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</si>
  <si>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</si>
  <si>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</si>
  <si>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</si>
  <si>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</si>
  <si>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</si>
  <si>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</si>
  <si>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</si>
  <si>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</si>
  <si>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</si>
  <si>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</si>
  <si>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</si>
  <si>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</si>
  <si>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</si>
  <si>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</si>
  <si>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</si>
  <si>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</si>
  <si>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</si>
  <si>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</si>
  <si>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</si>
  <si>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</si>
  <si>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</si>
  <si>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</si>
  <si>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</si>
  <si>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</si>
  <si>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</si>
  <si>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</si>
  <si>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</si>
  <si>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</si>
  <si>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</si>
  <si>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</si>
  <si>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</si>
  <si>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</si>
  <si>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</si>
  <si>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</si>
  <si>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</si>
  <si>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</si>
  <si>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</si>
  <si>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</si>
  <si>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</si>
  <si>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</si>
  <si>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</si>
  <si>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</si>
  <si>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</si>
  <si>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</si>
  <si>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</si>
  <si>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</si>
  <si>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</si>
  <si>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</si>
  <si>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</si>
  <si>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</si>
  <si>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</si>
  <si>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</si>
  <si>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</si>
  <si>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</si>
  <si>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</si>
  <si>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</si>
  <si>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</si>
  <si>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</si>
  <si>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</si>
  <si>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</si>
  <si>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</si>
  <si>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</si>
  <si>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</si>
  <si>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</si>
  <si>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</si>
  <si>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</si>
  <si>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</si>
  <si>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</si>
  <si>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</si>
  <si>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</si>
  <si>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</si>
  <si>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</si>
  <si>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</si>
  <si>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</si>
  <si>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</si>
  <si>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</si>
  <si>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</si>
  <si>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</si>
  <si>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</si>
  <si>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</si>
  <si>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</si>
  <si>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</si>
  <si>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</si>
  <si>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</si>
  <si>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</si>
  <si>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</si>
  <si>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</si>
  <si>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</si>
  <si>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</si>
  <si>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</si>
  <si>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</si>
  <si>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</si>
  <si>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</si>
  <si>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</si>
  <si>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</si>
  <si>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</si>
  <si>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</si>
  <si>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</si>
  <si>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</si>
  <si>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</si>
  <si>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</si>
  <si>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</si>
  <si>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</si>
  <si>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</si>
  <si>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</si>
  <si>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</si>
  <si>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</si>
  <si>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</si>
  <si>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</si>
  <si>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</si>
  <si>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</si>
  <si>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</si>
  <si>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</si>
  <si>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</si>
  <si>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</si>
  <si>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</si>
  <si>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</si>
  <si>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</si>
  <si>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</si>
  <si>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</si>
  <si>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</si>
  <si>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</si>
  <si>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</si>
  <si>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</si>
  <si>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</si>
  <si>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</si>
  <si>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</si>
  <si>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</si>
  <si>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</si>
  <si>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</si>
  <si>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</si>
  <si>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</si>
  <si>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</si>
  <si>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</si>
  <si>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</si>
  <si>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</si>
  <si>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</si>
  <si>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</si>
  <si>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</si>
  <si>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</si>
  <si>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</si>
  <si>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</si>
  <si>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</si>
  <si>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</si>
  <si>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</si>
  <si>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</si>
  <si>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</si>
  <si>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</si>
  <si>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</si>
  <si>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</si>
  <si>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</si>
  <si>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</si>
  <si>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</si>
  <si>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</si>
  <si>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</si>
  <si>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</si>
  <si>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</si>
  <si>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</si>
  <si>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</si>
  <si>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</si>
  <si>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</si>
  <si>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</si>
  <si>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</si>
  <si>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</si>
  <si>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</si>
  <si>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</si>
  <si>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</si>
  <si>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</si>
  <si>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</si>
  <si>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</si>
  <si>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</si>
  <si>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</si>
  <si>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</si>
  <si>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</si>
  <si>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</si>
  <si>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</si>
  <si>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</si>
  <si>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</si>
  <si>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</si>
  <si>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</si>
  <si>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</si>
  <si>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</si>
  <si>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</si>
  <si>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</si>
  <si>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</si>
  <si>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</si>
  <si>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</si>
  <si>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</si>
  <si>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</si>
  <si>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</si>
  <si>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</si>
  <si>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</si>
  <si>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</si>
  <si>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</si>
  <si>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</si>
  <si>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</si>
  <si>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</si>
  <si>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</si>
  <si>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</si>
  <si>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</si>
  <si>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</si>
  <si>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</si>
  <si>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</si>
  <si>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</si>
  <si>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</si>
  <si>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</si>
  <si>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</si>
  <si>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</si>
  <si>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</si>
  <si>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</si>
  <si>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</si>
  <si>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</si>
  <si>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</si>
  <si>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</si>
  <si>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</si>
  <si>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</si>
  <si>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</si>
  <si>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</si>
  <si>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</si>
  <si>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</si>
  <si>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</si>
  <si>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</si>
  <si>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</si>
  <si>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</si>
  <si>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</si>
  <si>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</si>
  <si>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</si>
  <si>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</si>
  <si>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</si>
  <si>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</si>
  <si>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</si>
  <si>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</si>
  <si>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</si>
  <si>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</si>
  <si>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</si>
  <si>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</si>
  <si>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</si>
  <si>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</si>
  <si>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</si>
  <si>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</si>
  <si>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</si>
  <si>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</si>
  <si>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</si>
  <si>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</si>
  <si>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</si>
  <si>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</si>
  <si>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</si>
  <si>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</si>
  <si>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</si>
  <si>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</si>
  <si>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</si>
  <si>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</si>
  <si>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</si>
  <si>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</si>
  <si>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</si>
  <si>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</si>
  <si>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</si>
  <si>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</si>
  <si>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</si>
  <si>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</si>
  <si>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</si>
  <si>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</si>
  <si>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</si>
  <si>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</si>
  <si>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</si>
  <si>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</si>
  <si>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</si>
  <si>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</si>
  <si>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</si>
  <si>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</si>
  <si>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</si>
  <si>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</si>
  <si>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</si>
  <si>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</si>
  <si>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</si>
  <si>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</si>
  <si>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</si>
  <si>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</si>
  <si>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</si>
  <si>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</si>
  <si>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</si>
  <si>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</si>
  <si>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</si>
  <si>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</si>
  <si>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</si>
  <si>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</si>
  <si>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</si>
  <si>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</si>
  <si>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</si>
  <si>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</si>
  <si>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</si>
  <si>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</si>
  <si>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</si>
  <si>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</si>
  <si>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</si>
  <si>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</si>
  <si>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</si>
  <si>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</si>
  <si>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</si>
  <si>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</si>
  <si>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</si>
  <si>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</si>
  <si>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</si>
  <si>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</si>
  <si>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</si>
  <si>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</si>
  <si>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</si>
  <si>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</si>
  <si>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</si>
  <si>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</si>
  <si>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</si>
  <si>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</si>
  <si>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</si>
  <si>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</si>
  <si>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</si>
  <si>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</si>
  <si>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</si>
  <si>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</si>
  <si>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</si>
  <si>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</si>
  <si>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</si>
  <si>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</si>
  <si>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</si>
  <si>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</si>
  <si>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</si>
  <si>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</si>
  <si>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</si>
  <si>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</si>
  <si>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</si>
  <si>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</si>
  <si>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</si>
  <si>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</si>
  <si>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</si>
  <si>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</si>
  <si>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</si>
  <si>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</si>
  <si>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</si>
  <si>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</si>
  <si>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</si>
  <si>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</si>
  <si>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</si>
  <si>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</si>
  <si>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</si>
  <si>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</si>
  <si>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</si>
  <si>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</si>
  <si>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</si>
  <si>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</si>
  <si>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</si>
  <si>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</si>
  <si>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</si>
  <si>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</si>
  <si>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</si>
  <si>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</si>
  <si>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</si>
  <si>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</si>
  <si>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</si>
  <si>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</si>
  <si>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</si>
  <si>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</si>
  <si>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</si>
  <si>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</si>
  <si>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</si>
  <si>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</si>
  <si>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</si>
  <si>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</si>
  <si>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</si>
  <si>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</si>
  <si>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</si>
  <si>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</si>
  <si>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</si>
  <si>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</si>
  <si>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</si>
  <si>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</si>
  <si>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</si>
  <si>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</si>
  <si>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</si>
  <si>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</si>
  <si>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</si>
  <si>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</si>
  <si>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</si>
  <si>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</si>
  <si>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</si>
  <si>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</si>
  <si>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</si>
  <si>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</si>
  <si>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</si>
  <si>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</si>
  <si>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</si>
  <si>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</si>
  <si>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</si>
  <si>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</si>
  <si>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</si>
  <si>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</si>
  <si>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</si>
  <si>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</si>
  <si>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</si>
  <si>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</si>
  <si>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</si>
  <si>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</si>
  <si>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</si>
  <si>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</si>
  <si>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</si>
  <si>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</si>
  <si>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</si>
  <si>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</si>
  <si>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</si>
  <si>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</si>
  <si>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</si>
  <si>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</si>
  <si>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</si>
  <si>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</si>
  <si>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</si>
  <si>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</si>
  <si>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</si>
  <si>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</si>
  <si>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</si>
  <si>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</si>
  <si>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</si>
  <si>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</si>
  <si>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</si>
  <si>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</si>
  <si>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</si>
  <si>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</si>
  <si>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</si>
  <si>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</si>
  <si>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</si>
  <si>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</si>
  <si>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</si>
  <si>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</si>
  <si>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</si>
  <si>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</si>
  <si>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</si>
  <si>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</si>
  <si>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</si>
  <si>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</si>
  <si>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</si>
  <si>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</si>
  <si>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</si>
  <si>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</si>
  <si>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</si>
  <si>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</si>
  <si>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</si>
  <si>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</si>
  <si>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</si>
  <si>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</si>
  <si>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</si>
  <si>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</si>
  <si>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</si>
  <si>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</si>
  <si>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</si>
  <si>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</si>
  <si>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</si>
  <si>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</si>
  <si>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</si>
  <si>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</si>
  <si>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</si>
  <si>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</si>
  <si>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</si>
  <si>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</si>
  <si>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</si>
  <si>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</si>
  <si>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</si>
  <si>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</si>
  <si>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</si>
  <si>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</si>
  <si>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</si>
  <si>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</si>
  <si>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</si>
  <si>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</si>
  <si>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</si>
  <si>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</si>
  <si>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</si>
  <si>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</si>
  <si>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</si>
  <si>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</si>
  <si>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</si>
  <si>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</si>
  <si>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</si>
  <si>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</si>
  <si>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</si>
  <si>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</si>
  <si>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</si>
  <si>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</si>
  <si>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</si>
  <si>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</si>
  <si>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</si>
  <si>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</si>
  <si>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</si>
  <si>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</si>
  <si>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</si>
  <si>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</si>
  <si>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</si>
  <si>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</si>
  <si>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</si>
  <si>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</si>
  <si>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</si>
  <si>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</si>
  <si>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</si>
  <si>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</si>
  <si>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</si>
  <si>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</si>
  <si>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</si>
  <si>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</si>
  <si>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</si>
  <si>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</si>
  <si>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</si>
  <si>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</si>
  <si>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</si>
  <si>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</si>
  <si>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</si>
  <si>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</si>
  <si>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</si>
  <si>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</si>
  <si>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</si>
  <si>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</si>
  <si>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</si>
  <si>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</si>
  <si>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</si>
  <si>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</si>
  <si>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</si>
  <si>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</si>
  <si>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</si>
  <si>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</si>
  <si>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</si>
  <si>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</si>
  <si>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</si>
  <si>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</si>
  <si>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</si>
  <si>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</si>
  <si>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</si>
  <si>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</si>
  <si>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</si>
  <si>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</si>
  <si>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</si>
  <si>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</si>
  <si>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</si>
  <si>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</si>
  <si>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</si>
  <si>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</si>
  <si>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</si>
  <si>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</si>
  <si>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</si>
  <si>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</si>
  <si>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</si>
  <si>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</si>
  <si>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</si>
  <si>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</si>
  <si>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</si>
  <si>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</si>
  <si>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</si>
  <si>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</si>
  <si>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</si>
  <si>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</si>
  <si>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</si>
  <si>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</si>
  <si>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</si>
  <si>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</si>
  <si>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</si>
  <si>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</si>
  <si>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</si>
  <si>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</si>
  <si>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</si>
  <si>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</si>
  <si>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</si>
  <si>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</si>
  <si>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</si>
  <si>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</si>
  <si>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</si>
  <si>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</si>
  <si>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</si>
  <si>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</si>
  <si>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</si>
  <si>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</si>
  <si>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</si>
  <si>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</si>
  <si>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</si>
  <si>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</si>
  <si>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</si>
  <si>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</si>
  <si>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</si>
  <si>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</si>
  <si>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</si>
  <si>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</si>
  <si>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</si>
  <si>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</si>
  <si>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</si>
  <si>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</si>
  <si>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</si>
  <si>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</si>
  <si>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</si>
  <si>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</si>
  <si>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</si>
  <si>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</si>
  <si>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</si>
  <si>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</si>
  <si>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</si>
  <si>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</si>
  <si>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</si>
  <si>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</si>
  <si>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</si>
  <si>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</si>
  <si>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</si>
  <si>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</si>
  <si>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</si>
  <si>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</si>
  <si>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</si>
  <si>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</si>
  <si>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</si>
  <si>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</si>
  <si>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</si>
  <si>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</si>
  <si>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</si>
  <si>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</si>
  <si>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</si>
  <si>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</si>
  <si>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</si>
  <si>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</si>
  <si>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</si>
  <si>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</si>
  <si>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</si>
  <si>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</si>
  <si>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</si>
  <si>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</si>
  <si>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</si>
  <si>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</si>
  <si>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</si>
  <si>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</si>
  <si>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</si>
  <si>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</si>
  <si>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</si>
  <si>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</si>
  <si>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</si>
  <si>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</si>
  <si>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</si>
  <si>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</si>
  <si>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</si>
  <si>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</si>
  <si>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</si>
  <si>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</si>
  <si>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</si>
  <si>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</si>
  <si>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</si>
  <si>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</si>
  <si>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</si>
  <si>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</si>
  <si>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</si>
  <si>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</si>
  <si>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</si>
  <si>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</si>
  <si>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</si>
  <si>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</si>
  <si>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</si>
  <si>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</si>
  <si>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</si>
  <si>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</si>
  <si>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</si>
  <si>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</si>
  <si>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</si>
  <si>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</si>
  <si>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</si>
  <si>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</si>
  <si>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</si>
  <si>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</si>
  <si>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</si>
  <si>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</si>
  <si>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</si>
  <si>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</si>
  <si>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</si>
  <si>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</si>
  <si>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</si>
  <si>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</si>
  <si>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</si>
  <si>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</si>
  <si>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</si>
  <si>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</si>
  <si>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</si>
  <si>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</si>
  <si>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</si>
  <si>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</si>
  <si>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</si>
  <si>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</si>
  <si>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</si>
  <si>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</si>
  <si>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</si>
  <si>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</si>
  <si>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</si>
  <si>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</si>
  <si>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</si>
  <si>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</si>
  <si>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</si>
  <si>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</si>
  <si>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</si>
  <si>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</si>
  <si>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</si>
  <si>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</si>
  <si>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</si>
  <si>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</si>
  <si>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</si>
  <si>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</si>
  <si>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</si>
  <si>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</si>
  <si>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</si>
  <si>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</si>
  <si>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</si>
  <si>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</si>
  <si>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</si>
  <si>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</si>
  <si>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</si>
  <si>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</si>
  <si>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</si>
  <si>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</si>
  <si>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</si>
  <si>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</si>
  <si>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</si>
  <si>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</si>
  <si>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</si>
  <si>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</si>
  <si>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</si>
  <si>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</si>
  <si>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</si>
  <si>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</si>
  <si>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</si>
  <si>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</si>
  <si>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</si>
  <si>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</si>
  <si>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</si>
  <si>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</si>
  <si>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</si>
  <si>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</si>
  <si>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</si>
  <si>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</si>
  <si>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</si>
  <si>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</si>
  <si>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</si>
  <si>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</si>
  <si>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</si>
  <si>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</si>
  <si>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</si>
  <si>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</si>
  <si>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</si>
  <si>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</si>
  <si>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</si>
  <si>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</si>
  <si>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</si>
  <si>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</si>
  <si>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</si>
  <si>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</si>
  <si>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</si>
  <si>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</si>
  <si>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</si>
  <si>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</si>
  <si>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</si>
  <si>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</si>
  <si>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</si>
  <si>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</si>
  <si>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</si>
  <si>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</si>
  <si>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</si>
  <si>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</si>
  <si>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</si>
  <si>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</si>
  <si>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</si>
  <si>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</si>
  <si>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</si>
  <si>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</si>
  <si>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</si>
  <si>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</si>
  <si>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</si>
  <si>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</si>
  <si>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</si>
  <si>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</si>
  <si>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</si>
  <si>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</si>
  <si>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</si>
  <si>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</si>
  <si>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</si>
  <si>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</si>
  <si>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</si>
  <si>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</si>
  <si>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</si>
  <si>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</si>
  <si>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</si>
  <si>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</si>
  <si>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</si>
  <si>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</si>
  <si>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</si>
  <si>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</si>
  <si>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</si>
  <si>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</si>
  <si>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</si>
  <si>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</si>
  <si>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</si>
  <si>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</si>
  <si>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</si>
  <si>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</si>
  <si>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</si>
  <si>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</si>
  <si>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</si>
  <si>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</si>
  <si>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</si>
  <si>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</si>
  <si>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</si>
  <si>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</si>
  <si>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</si>
  <si>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</si>
  <si>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</si>
  <si>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</si>
  <si>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</si>
  <si>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</si>
  <si>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</si>
  <si>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</si>
  <si>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</si>
  <si>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</si>
  <si>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</si>
  <si>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</si>
  <si>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</si>
  <si>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</si>
  <si>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</si>
  <si>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</si>
  <si>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</si>
  <si>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</si>
  <si>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</si>
  <si>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</si>
  <si>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</si>
  <si>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</si>
  <si>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</si>
  <si>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</si>
  <si>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</si>
  <si>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</si>
  <si>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</si>
  <si>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</si>
  <si>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</si>
  <si>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</si>
  <si>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</si>
  <si>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</si>
  <si>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</si>
  <si>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</si>
  <si>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</si>
  <si>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</si>
  <si>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</si>
  <si>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</si>
  <si>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</si>
  <si>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</si>
  <si>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</si>
  <si>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</si>
  <si>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</si>
  <si>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</si>
  <si>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</si>
  <si>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</si>
  <si>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</si>
  <si>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</si>
  <si>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</si>
  <si>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</si>
  <si>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</si>
  <si>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</si>
  <si>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</si>
  <si>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</si>
  <si>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</si>
  <si>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</si>
  <si>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</si>
  <si>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</si>
  <si>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</si>
  <si>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</si>
  <si>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</si>
  <si>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</si>
  <si>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</si>
  <si>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</si>
  <si>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</si>
  <si>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</si>
  <si>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</si>
  <si>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</si>
  <si>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</si>
  <si>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</si>
  <si>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</si>
  <si>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</si>
  <si>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</si>
  <si>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</si>
  <si>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</si>
  <si>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</si>
  <si>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</si>
  <si>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</si>
  <si>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</si>
  <si>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</si>
  <si>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</si>
  <si>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</si>
  <si>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</si>
  <si>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</si>
  <si>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</si>
  <si>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</si>
  <si>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</si>
  <si>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</si>
  <si>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</si>
  <si>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</si>
  <si>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</si>
  <si>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</si>
  <si>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</si>
  <si>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</si>
  <si>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</si>
  <si>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</si>
  <si>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</si>
  <si>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</si>
  <si>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</si>
  <si>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</si>
  <si>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</si>
  <si>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</si>
  <si>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</si>
  <si>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</si>
  <si>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</si>
  <si>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</si>
  <si>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</si>
  <si>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</si>
  <si>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</si>
  <si>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</si>
  <si>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</si>
  <si>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</si>
  <si>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</si>
  <si>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</si>
  <si>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</si>
  <si>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</si>
  <si>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</si>
  <si>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</si>
  <si>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</si>
  <si>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</si>
  <si>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</si>
  <si>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</si>
  <si>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</si>
  <si>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</si>
  <si>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</si>
  <si>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</si>
  <si>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</si>
  <si>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</si>
  <si>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</si>
  <si>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</si>
  <si>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</si>
  <si>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</si>
  <si>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</si>
  <si>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</si>
  <si>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</si>
  <si>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</si>
  <si>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</si>
  <si>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</si>
  <si>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</si>
  <si>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</si>
  <si>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</si>
  <si>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</si>
  <si>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</si>
  <si>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</si>
  <si>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</si>
  <si>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</si>
  <si>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</si>
  <si>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</si>
  <si>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</si>
  <si>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</si>
  <si>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</si>
  <si>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</si>
  <si>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</si>
  <si>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</si>
  <si>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</si>
  <si>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</si>
  <si>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</si>
  <si>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</si>
  <si>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</si>
  <si>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</si>
  <si>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</si>
  <si>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</si>
  <si>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</si>
  <si>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</si>
  <si>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</si>
  <si>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</si>
  <si>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</si>
  <si>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</si>
  <si>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</si>
  <si>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</si>
  <si>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</si>
  <si>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</si>
  <si>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</si>
  <si>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</si>
  <si>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</si>
  <si>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</si>
  <si>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</si>
  <si>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</si>
  <si>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</si>
  <si>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</si>
  <si>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</si>
  <si>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</si>
  <si>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</si>
  <si>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</si>
  <si>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</si>
  <si>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</si>
  <si>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</si>
  <si>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</si>
  <si>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</si>
  <si>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</si>
  <si>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</si>
  <si>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</si>
  <si>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</si>
  <si>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</si>
  <si>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</si>
  <si>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</si>
  <si>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</si>
  <si>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</si>
  <si>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</si>
  <si>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</si>
  <si>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</si>
  <si>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</si>
  <si>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</si>
  <si>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</si>
  <si>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</si>
  <si>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</si>
  <si>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</si>
  <si>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</si>
  <si>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</si>
  <si>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</si>
  <si>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</si>
  <si>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</si>
  <si>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</si>
  <si>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</si>
  <si>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</si>
  <si>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</si>
  <si>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</si>
  <si>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</si>
  <si>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</si>
  <si>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</si>
  <si>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</si>
  <si>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</si>
  <si>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</si>
  <si>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</si>
  <si>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</si>
  <si>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</si>
  <si>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</si>
  <si>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</si>
  <si>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</si>
  <si>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</si>
  <si>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</si>
  <si>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</si>
  <si>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</si>
  <si>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</si>
  <si>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</si>
  <si>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</si>
  <si>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</si>
  <si>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</si>
  <si>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</si>
  <si>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</si>
  <si>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</si>
  <si>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</si>
  <si>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</si>
  <si>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</si>
  <si>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</si>
  <si>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</si>
  <si>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</si>
  <si>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</si>
  <si>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</si>
  <si>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</si>
  <si>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</si>
  <si>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</si>
  <si>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</si>
  <si>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</si>
  <si>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</si>
  <si>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</si>
  <si>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</si>
  <si>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</si>
  <si>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</si>
  <si>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</si>
  <si>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</si>
  <si>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</si>
  <si>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</si>
  <si>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</si>
  <si>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</si>
  <si>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</si>
  <si>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</si>
  <si>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</si>
  <si>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</si>
  <si>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</si>
  <si>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</si>
  <si>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</si>
  <si>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</si>
  <si>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</si>
  <si>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</si>
  <si>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</si>
  <si>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</si>
  <si>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</si>
  <si>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</si>
  <si>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</si>
  <si>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</si>
  <si>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</si>
  <si>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</si>
  <si>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</si>
  <si>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</si>
  <si>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</si>
  <si>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</si>
  <si>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</si>
  <si>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</si>
  <si>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</si>
  <si>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</si>
  <si>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</si>
  <si>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</si>
  <si>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</si>
  <si>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</si>
  <si>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</si>
  <si>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</si>
  <si>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</si>
  <si>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</si>
  <si>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</si>
  <si>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</si>
  <si>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</si>
  <si>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</si>
  <si>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</si>
  <si>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</si>
  <si>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</si>
  <si>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</si>
  <si>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</si>
  <si>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</si>
  <si>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</si>
  <si>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</si>
  <si>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</si>
  <si>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</si>
  <si>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</si>
  <si>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</si>
  <si>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</si>
  <si>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</si>
  <si>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</si>
  <si>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</si>
  <si>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</si>
  <si>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</si>
  <si>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</si>
  <si>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</si>
  <si>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</si>
  <si>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</si>
  <si>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</si>
  <si>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</si>
  <si>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</si>
  <si>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</si>
  <si>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</si>
  <si>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</si>
  <si>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</si>
  <si>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</si>
  <si>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</si>
  <si>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</si>
  <si>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</si>
  <si>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</si>
  <si>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</si>
  <si>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</si>
  <si>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</si>
  <si>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</si>
  <si>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</si>
  <si>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</si>
  <si>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</si>
  <si>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</si>
  <si>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</si>
  <si>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</si>
  <si>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</si>
  <si>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</si>
  <si>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</si>
  <si>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</si>
  <si>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</si>
  <si>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</si>
  <si>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</si>
  <si>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</si>
  <si>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</si>
  <si>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</si>
  <si>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</si>
  <si>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</si>
  <si>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</si>
  <si>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</si>
  <si>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</si>
  <si>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</si>
  <si>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</si>
  <si>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</si>
  <si>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</si>
  <si>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</si>
  <si>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</si>
  <si>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</si>
  <si>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</si>
  <si>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</si>
  <si>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</si>
  <si>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</si>
  <si>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</si>
  <si>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</si>
  <si>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</si>
  <si>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</si>
  <si>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</si>
  <si>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</si>
  <si>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</si>
  <si>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</si>
  <si>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</si>
  <si>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</si>
  <si>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</si>
  <si>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</si>
  <si>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</si>
  <si>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</si>
  <si>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</si>
  <si>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</si>
  <si>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</si>
  <si>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</si>
  <si>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</si>
  <si>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</si>
  <si>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</si>
  <si>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</si>
  <si>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</si>
  <si>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</si>
  <si>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</si>
  <si>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</si>
  <si>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</si>
  <si>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</si>
  <si>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</si>
  <si>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</si>
  <si>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</si>
  <si>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</si>
  <si>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</si>
  <si>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</si>
  <si>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</si>
  <si>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</si>
  <si>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</si>
  <si>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</si>
  <si>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</si>
  <si>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</si>
  <si>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</si>
  <si>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</si>
  <si>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</si>
  <si>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</si>
  <si>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</si>
  <si>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</si>
  <si>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</si>
  <si>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</si>
  <si>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</si>
  <si>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</si>
  <si>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</si>
  <si>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</si>
  <si>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</si>
  <si>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</si>
  <si>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</si>
  <si>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</si>
  <si>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</si>
  <si>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</si>
  <si>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</si>
  <si>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</si>
  <si>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</si>
  <si>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</si>
  <si>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</si>
  <si>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</si>
  <si>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</si>
  <si>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</si>
  <si>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</si>
  <si>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</si>
  <si>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</si>
  <si>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</si>
  <si>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</si>
  <si>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</si>
  <si>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</si>
  <si>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</si>
  <si>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</si>
  <si>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</si>
  <si>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</si>
  <si>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</si>
  <si>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</si>
  <si>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</si>
  <si>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</si>
  <si>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</si>
  <si>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</si>
  <si>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</si>
  <si>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</si>
  <si>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</si>
  <si>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</si>
  <si>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</si>
  <si>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</si>
  <si>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</si>
  <si>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</si>
  <si>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</si>
  <si>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</si>
  <si>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</si>
  <si>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</si>
  <si>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</si>
  <si>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</si>
  <si>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</si>
  <si>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</si>
  <si>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</si>
  <si>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</si>
  <si>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</si>
  <si>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</si>
  <si>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</si>
  <si>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</si>
  <si>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</si>
  <si>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</si>
  <si>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</si>
  <si>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</si>
  <si>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</si>
  <si>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</si>
  <si>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</si>
  <si>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</si>
  <si>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</si>
  <si>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</si>
  <si>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</si>
  <si>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</si>
  <si>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</si>
  <si>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</si>
  <si>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</si>
  <si>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</si>
  <si>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</si>
  <si>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</si>
  <si>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</si>
  <si>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</si>
  <si>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</si>
  <si>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</si>
  <si>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</si>
  <si>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</si>
  <si>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</si>
  <si>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</si>
  <si>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</si>
  <si>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</si>
  <si>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</si>
  <si>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</si>
  <si>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</si>
  <si>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</si>
  <si>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</si>
  <si>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</si>
  <si>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</si>
  <si>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</si>
  <si>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</si>
  <si>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</si>
  <si>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</si>
  <si>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</si>
  <si>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</si>
  <si>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</si>
  <si>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</si>
  <si>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</si>
  <si>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</si>
  <si>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</si>
  <si>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</si>
  <si>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</si>
  <si>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</si>
  <si>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</si>
  <si>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</si>
  <si>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</si>
  <si>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</si>
  <si>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</si>
  <si>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</si>
  <si>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</si>
  <si>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</si>
  <si>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</si>
  <si>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</si>
  <si>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</si>
  <si>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</si>
  <si>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</si>
  <si>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</si>
  <si>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</si>
  <si>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</si>
  <si>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</si>
  <si>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</si>
  <si>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</si>
  <si>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</si>
  <si>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</si>
  <si>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</si>
  <si>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</si>
  <si>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</si>
  <si>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</si>
  <si>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</si>
  <si>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</si>
  <si>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</si>
  <si>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</si>
  <si>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</si>
  <si>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</si>
  <si>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</si>
  <si>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</si>
  <si>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</si>
  <si>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</si>
  <si>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</si>
  <si>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</si>
  <si>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</si>
  <si>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</si>
  <si>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</si>
  <si>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</si>
  <si>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</si>
  <si>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</si>
  <si>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</si>
  <si>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</si>
  <si>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</si>
  <si>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</si>
  <si>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</si>
  <si>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</si>
  <si>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</si>
  <si>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</si>
  <si>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</si>
  <si>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</si>
  <si>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</si>
  <si>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</si>
  <si>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</si>
  <si>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</si>
  <si>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</si>
  <si>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</si>
  <si>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</si>
  <si>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</si>
  <si>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</si>
  <si>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</si>
  <si>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</si>
  <si>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</si>
  <si>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</si>
  <si>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</si>
  <si>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</si>
  <si>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</si>
  <si>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</si>
  <si>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</si>
  <si>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</si>
  <si>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</si>
  <si>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</si>
  <si>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</si>
  <si>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</si>
  <si>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</si>
  <si>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</si>
  <si>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</si>
  <si>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</si>
  <si>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</si>
  <si>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</si>
  <si>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</si>
  <si>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</si>
  <si>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</si>
  <si>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</si>
  <si>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</si>
  <si>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</si>
  <si>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</si>
  <si>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</si>
  <si>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</si>
  <si>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</si>
  <si>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</si>
  <si>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</si>
  <si>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</si>
  <si>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</si>
  <si>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</si>
  <si>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</si>
  <si>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</si>
  <si>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</si>
  <si>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</si>
  <si>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</si>
  <si>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</si>
  <si>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</si>
  <si>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</si>
  <si>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</si>
  <si>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</si>
  <si>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</si>
  <si>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</si>
  <si>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</si>
  <si>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</si>
  <si>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</si>
  <si>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</si>
  <si>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</si>
  <si>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</si>
  <si>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</si>
  <si>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</si>
  <si>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</si>
  <si>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</si>
  <si>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</si>
  <si>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</si>
  <si>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</si>
  <si>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</si>
  <si>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</si>
  <si>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</si>
  <si>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</si>
  <si>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</si>
  <si>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</si>
  <si>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</si>
  <si>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</si>
  <si>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</si>
  <si>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</si>
  <si>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</si>
  <si>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</si>
  <si>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</si>
  <si>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</si>
  <si>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</si>
  <si>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</si>
  <si>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</si>
  <si>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</si>
  <si>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</si>
  <si>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</si>
  <si>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</si>
  <si>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</si>
  <si>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</si>
  <si>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</si>
  <si>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</si>
  <si>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</si>
  <si>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</si>
  <si>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</si>
  <si>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</si>
  <si>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</si>
  <si>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</si>
  <si>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</si>
  <si>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</si>
  <si>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</si>
  <si>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</si>
  <si>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</si>
  <si>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</si>
  <si>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</si>
  <si>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</si>
  <si>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</si>
  <si>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</si>
  <si>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</si>
  <si>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</si>
  <si>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</si>
  <si>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</si>
  <si>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</si>
  <si>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</si>
  <si>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</si>
  <si>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</si>
  <si>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</si>
  <si>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</si>
  <si>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</si>
  <si>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</si>
  <si>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</si>
  <si>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</si>
  <si>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</si>
  <si>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</si>
  <si>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</si>
  <si>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</si>
  <si>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</si>
  <si>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</si>
  <si>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</si>
  <si>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</si>
  <si>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</si>
  <si>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</si>
  <si>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</si>
  <si>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</si>
  <si>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</si>
  <si>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</si>
  <si>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</si>
  <si>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</si>
  <si>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</si>
  <si>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</si>
  <si>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</si>
  <si>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</si>
  <si>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</si>
  <si>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</si>
  <si>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</si>
  <si>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</si>
  <si>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</si>
  <si>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</si>
  <si>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</si>
  <si>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</si>
  <si>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</si>
  <si>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</si>
  <si>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</si>
  <si>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</si>
  <si>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</si>
  <si>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</si>
  <si>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</si>
  <si>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</si>
  <si>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</si>
  <si>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</si>
  <si>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</si>
  <si>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</si>
  <si>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</si>
  <si>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</si>
  <si>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</si>
  <si>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</si>
  <si>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</si>
  <si>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</si>
  <si>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</si>
  <si>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</si>
  <si>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</si>
  <si>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</si>
  <si>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</si>
  <si>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</si>
  <si>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</si>
  <si>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</si>
  <si>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</si>
  <si>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</si>
  <si>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</si>
  <si>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</si>
  <si>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</si>
  <si>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</si>
  <si>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</si>
  <si>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</si>
  <si>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</si>
  <si>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</si>
  <si>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</si>
  <si>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</si>
  <si>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</si>
  <si>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</si>
  <si>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</si>
  <si>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</si>
  <si>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</si>
  <si>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</si>
  <si>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</si>
  <si>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</si>
  <si>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</si>
  <si>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</si>
  <si>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</si>
  <si>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</si>
  <si>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</si>
  <si>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</si>
  <si>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</si>
  <si>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</si>
  <si>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</si>
  <si>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</si>
  <si>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</si>
  <si>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</si>
  <si>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</si>
  <si>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</si>
  <si>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</si>
  <si>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</si>
  <si>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</si>
  <si>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</si>
  <si>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</si>
  <si>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</si>
  <si>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</si>
  <si>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</si>
  <si>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</si>
  <si>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</si>
  <si>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</si>
  <si>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</si>
  <si>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</si>
  <si>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</si>
  <si>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</si>
  <si>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</si>
  <si>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</si>
  <si>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</si>
  <si>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</si>
  <si>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</si>
  <si>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</si>
  <si>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</si>
  <si>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</si>
  <si>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</si>
  <si>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</si>
  <si>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</si>
  <si>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</si>
  <si>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</si>
  <si>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</si>
  <si>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</si>
  <si>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</si>
  <si>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</si>
  <si>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</si>
  <si>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</si>
  <si>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</si>
  <si>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</si>
  <si>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</si>
  <si>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</si>
  <si>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</si>
  <si>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</si>
  <si>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</si>
  <si>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</si>
  <si>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</si>
  <si>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</si>
  <si>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</si>
  <si>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</si>
  <si>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</si>
  <si>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</si>
  <si>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</si>
  <si>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</si>
  <si>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</si>
  <si>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</si>
  <si>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</si>
  <si>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</si>
  <si>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</si>
  <si>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</si>
  <si>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</si>
  <si>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</si>
  <si>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</si>
  <si>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</si>
  <si>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</si>
  <si>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</si>
  <si>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</si>
  <si>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</si>
  <si>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</si>
  <si>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</si>
  <si>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</si>
  <si>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</si>
  <si>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</si>
  <si>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</si>
  <si>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</si>
  <si>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</si>
  <si>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</si>
  <si>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</si>
  <si>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</si>
  <si>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</si>
  <si>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</si>
  <si>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</si>
  <si>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</si>
  <si>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</si>
  <si>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</si>
  <si>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</si>
  <si>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</si>
  <si>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</si>
  <si>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</si>
  <si>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</si>
  <si>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</si>
  <si>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</si>
  <si>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</si>
  <si>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</si>
  <si>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</si>
  <si>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</si>
  <si>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</si>
  <si>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</si>
  <si>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</si>
  <si>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</si>
  <si>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</si>
  <si>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</si>
  <si>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</si>
  <si>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</si>
  <si>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</si>
  <si>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</si>
  <si>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</si>
  <si>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</si>
  <si>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</si>
  <si>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</si>
  <si>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</si>
  <si>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</si>
  <si>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</si>
  <si>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</si>
  <si>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</si>
  <si>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</si>
  <si>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</si>
  <si>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</si>
  <si>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</si>
  <si>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</si>
  <si>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</si>
  <si>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</si>
  <si>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</si>
  <si>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</si>
  <si>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</si>
  <si>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</si>
  <si>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</si>
  <si>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</si>
  <si>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</si>
  <si>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</si>
  <si>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</si>
  <si>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</si>
  <si>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</si>
  <si>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</si>
  <si>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</si>
  <si>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</si>
  <si>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</si>
  <si>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</si>
  <si>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</si>
  <si>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</si>
  <si>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</si>
  <si>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</si>
  <si>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</si>
  <si>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</si>
  <si>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</si>
  <si>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</si>
  <si>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</si>
  <si>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</si>
  <si>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</si>
  <si>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</si>
  <si>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</si>
  <si>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</si>
  <si>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</si>
  <si>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</si>
  <si>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</si>
  <si>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</si>
  <si>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</si>
  <si>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</si>
  <si>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</si>
  <si>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</si>
  <si>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</si>
  <si>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</si>
  <si>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</si>
  <si>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</si>
  <si>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</si>
  <si>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</si>
  <si>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</si>
  <si>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</si>
  <si>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</si>
  <si>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</si>
  <si>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</si>
  <si>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</si>
  <si>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</si>
  <si>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</si>
  <si>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</si>
  <si>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</si>
  <si>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</si>
  <si>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</si>
  <si>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</si>
  <si>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</si>
  <si>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</si>
  <si>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</si>
  <si>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</si>
  <si>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</si>
  <si>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</si>
  <si>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</si>
  <si>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</si>
  <si>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</si>
  <si>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</si>
  <si>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</si>
  <si>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</si>
  <si>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</si>
  <si>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</si>
  <si>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</si>
  <si>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</si>
  <si>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</si>
  <si>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</si>
  <si>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</si>
  <si>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</si>
  <si>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</si>
  <si>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</si>
  <si>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</si>
  <si>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</si>
  <si>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</si>
  <si>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</si>
  <si>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</si>
  <si>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</si>
  <si>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</si>
  <si>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</si>
  <si>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</si>
  <si>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</si>
  <si>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</si>
  <si>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</si>
  <si>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</si>
  <si>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</si>
  <si>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</si>
  <si>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</si>
  <si>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</si>
  <si>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</si>
  <si>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</si>
  <si>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</si>
  <si>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</si>
  <si>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</si>
  <si>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</si>
  <si>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</si>
  <si>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</si>
  <si>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</si>
  <si>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</si>
  <si>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</si>
  <si>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</si>
  <si>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</si>
  <si>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</si>
  <si>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</si>
  <si>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</si>
  <si>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</si>
  <si>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</si>
  <si>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</si>
  <si>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</si>
  <si>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</si>
  <si>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</si>
  <si>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</si>
  <si>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</si>
  <si>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</si>
  <si>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</si>
  <si>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</si>
  <si>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</si>
  <si>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</si>
  <si>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</si>
  <si>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</si>
  <si>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</si>
  <si>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</si>
  <si>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</si>
  <si>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</si>
  <si>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</si>
  <si>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</si>
  <si>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</si>
  <si>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</si>
  <si>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</si>
  <si>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</si>
  <si>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</si>
  <si>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</si>
  <si>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</si>
  <si>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</si>
  <si>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</si>
  <si>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</si>
  <si>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</si>
  <si>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</si>
  <si>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</si>
  <si>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</si>
  <si>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</si>
  <si>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</si>
  <si>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</si>
  <si>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</si>
  <si>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</si>
  <si>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</si>
  <si>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</si>
  <si>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</si>
  <si>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</si>
  <si>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</si>
  <si>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</si>
  <si>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</si>
  <si>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</si>
  <si>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</si>
  <si>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</si>
  <si>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</si>
  <si>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</si>
  <si>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</si>
  <si>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</si>
  <si>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</si>
  <si>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</si>
  <si>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</si>
  <si>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</si>
  <si>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</si>
  <si>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</si>
  <si>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</si>
  <si>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</si>
  <si>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</si>
  <si>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</si>
  <si>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</si>
  <si>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</si>
  <si>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</si>
  <si>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</si>
  <si>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</si>
  <si>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</si>
  <si>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</si>
  <si>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</si>
  <si>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</si>
  <si>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</si>
  <si>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</si>
  <si>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</si>
  <si>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</si>
  <si>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</si>
  <si>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</si>
  <si>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</si>
  <si>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</si>
  <si>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</si>
  <si>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</si>
  <si>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</si>
  <si>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</si>
  <si>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</si>
  <si>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</si>
  <si>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</si>
  <si>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</si>
  <si>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</si>
  <si>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</si>
  <si>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</si>
  <si>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</si>
  <si>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</si>
  <si>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</si>
  <si>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</si>
  <si>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</si>
  <si>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</si>
  <si>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</si>
  <si>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</si>
  <si>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</si>
  <si>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</si>
  <si>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</si>
  <si>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</si>
  <si>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</si>
  <si>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</si>
  <si>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</si>
  <si>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</si>
  <si>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</si>
  <si>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</si>
  <si>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</si>
  <si>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</si>
  <si>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</si>
  <si>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</si>
  <si>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</si>
  <si>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</si>
  <si>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</si>
  <si>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</si>
  <si>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</si>
  <si>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</si>
  <si>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</si>
  <si>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</si>
  <si>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</si>
  <si>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</si>
  <si>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</si>
  <si>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</si>
  <si>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</si>
  <si>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</si>
  <si>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</si>
  <si>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</si>
  <si>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</si>
  <si>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</si>
  <si>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</si>
  <si>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</si>
  <si>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</si>
  <si>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</si>
  <si>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</si>
  <si>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</si>
  <si>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</si>
  <si>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</si>
  <si>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</si>
  <si>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</si>
  <si>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</si>
  <si>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</si>
  <si>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</si>
  <si>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</si>
  <si>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</si>
  <si>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</si>
  <si>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</si>
  <si>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</si>
  <si>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</si>
  <si>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</si>
  <si>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</si>
  <si>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</si>
  <si>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</si>
  <si>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</si>
  <si>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</si>
  <si>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</si>
  <si>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</si>
  <si>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</si>
  <si>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</si>
  <si>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</si>
  <si>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</si>
  <si>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</si>
  <si>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</si>
  <si>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</si>
  <si>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</si>
  <si>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</si>
  <si>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</si>
  <si>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</si>
  <si>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</si>
  <si>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</si>
  <si>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</si>
  <si>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</si>
  <si>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</si>
  <si>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</si>
  <si>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</si>
  <si>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</si>
  <si>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</si>
  <si>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</si>
  <si>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</si>
  <si>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</si>
  <si>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</si>
  <si>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</si>
  <si>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</si>
  <si>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</si>
  <si>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</si>
  <si>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</si>
  <si>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</si>
  <si>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</si>
  <si>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</si>
  <si>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</si>
  <si>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</si>
  <si>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</si>
  <si>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</si>
  <si>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</si>
  <si>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</si>
  <si>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</si>
  <si>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</si>
  <si>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</si>
  <si>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</si>
  <si>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</si>
  <si>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</si>
  <si>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</si>
  <si>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</si>
  <si>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</si>
  <si>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</si>
  <si>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</si>
  <si>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</si>
  <si>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</si>
  <si>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</si>
  <si>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</si>
  <si>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</si>
  <si>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</si>
  <si>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</si>
  <si>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</si>
  <si>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</si>
  <si>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</si>
  <si>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</si>
  <si>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</si>
  <si>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</si>
  <si>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</si>
  <si>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</si>
  <si>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</si>
  <si>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</si>
  <si>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</si>
  <si>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</si>
  <si>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</si>
  <si>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</si>
  <si>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</si>
  <si>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</si>
  <si>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</si>
  <si>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</si>
  <si>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</si>
  <si>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</si>
  <si>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</si>
  <si>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</si>
  <si>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</si>
  <si>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</si>
  <si>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</si>
  <si>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</si>
  <si>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</si>
  <si>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</si>
  <si>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</si>
  <si>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</si>
  <si>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</si>
  <si>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</si>
  <si>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</si>
  <si>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</si>
  <si>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</si>
  <si>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</si>
  <si>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</si>
  <si>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</si>
  <si>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</si>
  <si>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</si>
  <si>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</si>
  <si>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</si>
  <si>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</si>
  <si>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</si>
  <si>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</si>
  <si>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</si>
  <si>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</si>
  <si>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</si>
  <si>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</si>
  <si>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</si>
  <si>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</si>
  <si>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</si>
  <si>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</si>
  <si>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</si>
  <si>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</si>
  <si>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</si>
  <si>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</si>
  <si>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</si>
  <si>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</si>
  <si>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</si>
  <si>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</si>
  <si>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</si>
  <si>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</si>
  <si>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</si>
  <si>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</si>
  <si>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</si>
  <si>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</si>
  <si>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</si>
  <si>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</si>
  <si>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</si>
  <si>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</si>
  <si>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</si>
  <si>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</si>
  <si>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</si>
  <si>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</si>
  <si>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</si>
  <si>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</si>
  <si>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</si>
  <si>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</si>
  <si>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</si>
  <si>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</si>
  <si>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</si>
  <si>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</si>
  <si>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</si>
  <si>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</si>
  <si>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</si>
  <si>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</si>
  <si>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</si>
  <si>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</si>
  <si>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</si>
  <si>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</si>
  <si>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</si>
  <si>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</si>
  <si>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</si>
  <si>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</si>
  <si>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</si>
  <si>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</si>
  <si>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</si>
  <si>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</si>
  <si>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</si>
  <si>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</si>
  <si>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</si>
  <si>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</si>
  <si>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</si>
  <si>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</si>
  <si>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</si>
  <si>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</si>
  <si>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</si>
  <si>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</si>
  <si>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</si>
  <si>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</si>
  <si>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</si>
  <si>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</si>
  <si>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</si>
  <si>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</si>
  <si>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</si>
  <si>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</si>
  <si>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</si>
  <si>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</si>
  <si>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</si>
  <si>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</si>
  <si>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</si>
  <si>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</si>
  <si>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</si>
  <si>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</si>
  <si>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</si>
  <si>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</si>
  <si>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</si>
  <si>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</si>
  <si>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</si>
  <si>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</si>
  <si>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</si>
  <si>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</si>
  <si>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</si>
  <si>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</si>
  <si>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</si>
  <si>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</si>
  <si>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</si>
  <si>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</si>
  <si>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</si>
  <si>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</si>
  <si>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</si>
  <si>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</si>
  <si>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</si>
  <si>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</si>
  <si>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</si>
  <si>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</si>
  <si>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</si>
  <si>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</si>
  <si>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</si>
  <si>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</si>
  <si>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</si>
  <si>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</si>
  <si>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</si>
  <si>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</si>
  <si>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</si>
  <si>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</si>
  <si>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</si>
  <si>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</si>
  <si>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</si>
  <si>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</si>
  <si>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</si>
  <si>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</si>
  <si>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</si>
  <si>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</si>
  <si>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</si>
  <si>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</si>
  <si>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</si>
  <si>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</si>
  <si>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</si>
  <si>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</si>
  <si>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</si>
  <si>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</si>
  <si>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</si>
  <si>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</si>
  <si>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</si>
  <si>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</si>
  <si>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</si>
  <si>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</si>
  <si>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</si>
  <si>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</si>
  <si>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</si>
  <si>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</si>
  <si>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</si>
  <si>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</si>
  <si>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</si>
  <si>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</si>
  <si>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</si>
  <si>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</si>
  <si>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</si>
  <si>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</si>
  <si>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</si>
  <si>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</si>
  <si>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</si>
  <si>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</si>
  <si>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</si>
  <si>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</si>
  <si>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</si>
  <si>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</si>
  <si>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</si>
  <si>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</si>
  <si>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</si>
  <si>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</si>
  <si>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</si>
  <si>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</si>
  <si>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</si>
  <si>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</si>
  <si>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</si>
  <si>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</si>
  <si>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</si>
  <si>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</si>
  <si>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</si>
  <si>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</si>
  <si>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</si>
  <si>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</si>
  <si>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</si>
  <si>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</si>
  <si>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</si>
  <si>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</si>
  <si>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</si>
  <si>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</si>
  <si>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</si>
  <si>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</si>
  <si>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</si>
  <si>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</si>
  <si>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</si>
  <si>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</si>
  <si>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</si>
  <si>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</si>
  <si>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</si>
  <si>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</si>
  <si>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</si>
  <si>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</si>
  <si>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</si>
  <si>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</si>
  <si>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</si>
  <si>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</si>
  <si>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</si>
  <si>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</si>
  <si>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</si>
  <si>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</si>
  <si>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</si>
  <si>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</si>
  <si>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</si>
  <si>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</si>
  <si>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</si>
  <si>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</si>
  <si>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</si>
  <si>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</si>
  <si>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</si>
  <si>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</si>
  <si>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</si>
  <si>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</si>
  <si>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</si>
  <si>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</si>
  <si>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</si>
  <si>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</si>
  <si>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</si>
  <si>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</si>
  <si>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</si>
  <si>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</si>
  <si>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</si>
  <si>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</si>
  <si>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</si>
  <si>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</si>
  <si>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</si>
  <si>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</si>
  <si>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</si>
  <si>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</si>
  <si>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</si>
  <si>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</si>
  <si>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</si>
  <si>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</si>
  <si>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</si>
  <si>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</si>
  <si>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</si>
  <si>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</si>
  <si>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</si>
  <si>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</si>
  <si>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</si>
  <si>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</si>
  <si>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</si>
  <si>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</si>
  <si>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</si>
  <si>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</si>
  <si>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</si>
  <si>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</si>
  <si>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</si>
  <si>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</si>
  <si>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</si>
  <si>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</si>
  <si>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</si>
  <si>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</si>
  <si>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</si>
  <si>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</si>
  <si>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</si>
  <si>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</si>
  <si>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</si>
  <si>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</si>
  <si>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</si>
  <si>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</si>
  <si>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</si>
  <si>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</si>
  <si>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</si>
  <si>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</si>
  <si>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</si>
  <si>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</si>
  <si>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</si>
  <si>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</si>
  <si>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</si>
  <si>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</si>
  <si>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</si>
  <si>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</si>
  <si>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</si>
  <si>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</si>
  <si>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</si>
  <si>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</si>
  <si>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</si>
  <si>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</si>
  <si>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</si>
  <si>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</si>
  <si>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</si>
  <si>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</si>
  <si>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</si>
  <si>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</si>
  <si>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</si>
  <si>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</si>
  <si>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</si>
  <si>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</si>
  <si>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</si>
  <si>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</si>
  <si>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</si>
  <si>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</si>
  <si>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</si>
  <si>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</si>
  <si>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</si>
  <si>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</si>
  <si>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</si>
  <si>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</si>
  <si>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</si>
  <si>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</si>
  <si>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</si>
  <si>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</si>
  <si>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</si>
  <si>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</si>
  <si>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</si>
  <si>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</si>
  <si>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</si>
  <si>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</si>
  <si>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</si>
  <si>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</si>
  <si>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</si>
  <si>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</si>
  <si>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</si>
  <si>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</si>
  <si>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</si>
  <si>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</si>
  <si>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</si>
  <si>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</si>
  <si>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</si>
  <si>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</si>
  <si>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</si>
  <si>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</si>
  <si>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</si>
  <si>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</si>
  <si>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</si>
  <si>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</si>
  <si>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</si>
  <si>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</si>
  <si>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</si>
  <si>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</si>
  <si>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</si>
  <si>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</si>
  <si>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</si>
  <si>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</si>
  <si>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</si>
  <si>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</si>
  <si>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</si>
  <si>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</si>
  <si>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</si>
  <si>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</si>
  <si>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</si>
  <si>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</si>
  <si>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</si>
  <si>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</si>
  <si>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</si>
  <si>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</si>
  <si>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</si>
  <si>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</si>
  <si>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</si>
  <si>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</si>
  <si>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</si>
  <si>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</si>
  <si>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</si>
  <si>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</si>
  <si>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</si>
  <si>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</si>
  <si>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</si>
  <si>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</si>
  <si>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</si>
  <si>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</si>
  <si>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</si>
  <si>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</si>
  <si>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</si>
  <si>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</si>
  <si>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</si>
  <si>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</si>
  <si>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</si>
  <si>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</si>
  <si>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</si>
  <si>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</si>
  <si>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</si>
  <si>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</si>
  <si>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</si>
  <si>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</si>
  <si>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</si>
  <si>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</si>
  <si>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</si>
  <si>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</si>
  <si>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</si>
  <si>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</si>
  <si>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</si>
  <si>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</si>
  <si>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</si>
  <si>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</si>
  <si>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</si>
  <si>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</si>
  <si>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</si>
  <si>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</si>
  <si>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</si>
  <si>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</si>
  <si>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</si>
  <si>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</si>
  <si>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</si>
  <si>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</si>
  <si>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</si>
  <si>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</si>
  <si>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</si>
  <si>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</si>
  <si>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</si>
  <si>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</si>
  <si>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</si>
  <si>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</si>
  <si>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</si>
  <si>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</si>
  <si>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</si>
  <si>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</si>
  <si>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</si>
  <si>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</si>
  <si>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</si>
  <si>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</si>
  <si>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</si>
  <si>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</si>
  <si>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</si>
  <si>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</si>
  <si>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</si>
  <si>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</si>
  <si>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</si>
  <si>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</si>
  <si>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</si>
  <si>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</si>
  <si>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</si>
  <si>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</si>
  <si>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</si>
  <si>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</si>
  <si>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</si>
  <si>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</si>
  <si>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</si>
  <si>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</si>
  <si>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</si>
  <si>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</si>
  <si>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</si>
  <si>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</si>
  <si>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</si>
  <si>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</si>
  <si>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</si>
  <si>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</si>
  <si>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</si>
  <si>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</si>
  <si>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</si>
  <si>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</si>
  <si>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</si>
  <si>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</si>
  <si>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</si>
  <si>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</si>
  <si>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</si>
  <si>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</si>
  <si>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</si>
  <si>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</si>
  <si>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</si>
  <si>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</si>
  <si>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</si>
  <si>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</si>
  <si>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</si>
  <si>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</si>
  <si>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</si>
  <si>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</si>
  <si>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</si>
  <si>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</si>
  <si>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</si>
  <si>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</si>
  <si>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</si>
  <si>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</si>
  <si>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</si>
  <si>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</si>
  <si>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</si>
  <si>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</si>
  <si>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</si>
  <si>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</si>
  <si>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</si>
  <si>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</si>
  <si>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</si>
  <si>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</si>
  <si>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</si>
  <si>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</si>
  <si>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</si>
  <si>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</si>
  <si>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</si>
  <si>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</si>
  <si>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</si>
  <si>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</si>
  <si>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</si>
  <si>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</si>
  <si>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</si>
  <si>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</si>
  <si>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</si>
  <si>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</si>
  <si>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</si>
  <si>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</si>
  <si>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</si>
  <si>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</si>
  <si>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</si>
  <si>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</si>
  <si>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</si>
  <si>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</si>
  <si>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</si>
  <si>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</si>
  <si>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</si>
  <si>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</si>
  <si>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</si>
  <si>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</si>
  <si>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</si>
  <si>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</si>
  <si>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</si>
  <si>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</si>
  <si>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</si>
  <si>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</si>
  <si>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</si>
  <si>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</si>
  <si>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</si>
  <si>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</si>
  <si>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</si>
  <si>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</si>
  <si>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</si>
  <si>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</si>
  <si>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</si>
  <si>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</si>
  <si>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</si>
  <si>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</si>
  <si>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</si>
  <si>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</si>
  <si>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</si>
  <si>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</si>
  <si>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</si>
  <si>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</si>
  <si>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</si>
  <si>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</si>
  <si>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</si>
  <si>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</si>
  <si>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</si>
  <si>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</si>
  <si>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</si>
  <si>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</si>
  <si>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</si>
  <si>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</si>
  <si>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</si>
  <si>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</si>
  <si>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</si>
  <si>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</si>
  <si>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</si>
  <si>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</si>
  <si>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</si>
  <si>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</si>
  <si>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</si>
  <si>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</si>
  <si>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</si>
  <si>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</si>
  <si>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</si>
  <si>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</si>
  <si>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</si>
  <si>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</si>
  <si>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</si>
  <si>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</si>
  <si>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</si>
  <si>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</si>
  <si>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</si>
  <si>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</si>
  <si>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</si>
  <si>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</si>
  <si>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</si>
  <si>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</si>
  <si>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</si>
  <si>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</si>
  <si>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</si>
  <si>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</si>
  <si>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</si>
  <si>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</si>
  <si>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</si>
  <si>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</si>
  <si>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</si>
  <si>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</si>
  <si>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</si>
  <si>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</si>
  <si>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</si>
  <si>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</si>
  <si>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</si>
  <si>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</si>
  <si>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</si>
  <si>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</si>
  <si>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</si>
  <si>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</si>
  <si>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</si>
  <si>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</si>
  <si>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</si>
  <si>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</si>
  <si>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</si>
  <si>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</si>
  <si>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</si>
  <si>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</si>
  <si>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</si>
  <si>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</si>
  <si>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</si>
  <si>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</si>
  <si>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</si>
  <si>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</si>
  <si>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</si>
  <si>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</si>
  <si>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</si>
  <si>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</si>
  <si>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</si>
  <si>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</si>
  <si>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</si>
  <si>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</si>
  <si>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</si>
  <si>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</si>
  <si>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</si>
  <si>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</si>
  <si>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</si>
  <si>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</si>
  <si>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</si>
  <si>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</si>
  <si>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</si>
  <si>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</si>
  <si>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</si>
  <si>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</si>
  <si>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</si>
  <si>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</si>
  <si>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</si>
  <si>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</si>
  <si>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</si>
  <si>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</si>
  <si>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</si>
  <si>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</si>
  <si>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</si>
  <si>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</si>
  <si>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</si>
  <si>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</si>
  <si>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</si>
  <si>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</si>
  <si>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</si>
  <si>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</si>
  <si>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</si>
  <si>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</si>
  <si>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</si>
  <si>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</si>
  <si>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</si>
  <si>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</si>
  <si>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</si>
  <si>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</si>
  <si>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</si>
  <si>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</si>
  <si>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</si>
  <si>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</si>
  <si>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</si>
  <si>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</si>
  <si>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</si>
  <si>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</si>
  <si>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</si>
  <si>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</si>
  <si>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</si>
  <si>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</si>
  <si>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</si>
  <si>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</si>
  <si>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</si>
  <si>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</si>
  <si>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</si>
  <si>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</si>
  <si>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</si>
  <si>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</si>
  <si>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</si>
  <si>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</si>
  <si>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</si>
  <si>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</si>
  <si>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</si>
  <si>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</si>
  <si>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</si>
  <si>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</si>
  <si>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</si>
  <si>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</si>
  <si>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</si>
  <si>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</si>
  <si>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</si>
  <si>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</si>
  <si>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</si>
  <si>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</si>
  <si>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</si>
  <si>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</si>
  <si>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</si>
  <si>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</si>
  <si>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</si>
  <si>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</si>
  <si>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</si>
  <si>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</si>
  <si>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</si>
  <si>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</si>
  <si>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</si>
  <si>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</si>
  <si>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</si>
  <si>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</si>
  <si>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</si>
  <si>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</si>
  <si>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</si>
  <si>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</si>
  <si>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</si>
  <si>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</si>
  <si>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</si>
  <si>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</si>
  <si>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</si>
  <si>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</si>
  <si>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</si>
  <si>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</si>
  <si>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</si>
  <si>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</si>
  <si>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</si>
  <si>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</si>
  <si>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</si>
  <si>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</si>
  <si>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</si>
  <si>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</si>
  <si>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</si>
  <si>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</si>
  <si>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</si>
  <si>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</si>
  <si>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</si>
  <si>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</si>
  <si>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</si>
  <si>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</si>
  <si>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</si>
  <si>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</si>
  <si>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</si>
  <si>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</si>
  <si>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</si>
  <si>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</si>
  <si>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</si>
  <si>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</si>
  <si>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</si>
  <si>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</si>
  <si>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</si>
  <si>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</si>
  <si>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</si>
  <si>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</si>
  <si>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</si>
  <si>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</si>
  <si>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</si>
  <si>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</si>
  <si>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</si>
  <si>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</si>
  <si>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</si>
  <si>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</si>
  <si>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</si>
  <si>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</si>
  <si>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</si>
  <si>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</si>
  <si>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</si>
  <si>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</si>
  <si>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</si>
  <si>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</si>
  <si>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</si>
  <si>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</si>
  <si>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</si>
  <si>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</si>
  <si>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</si>
  <si>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</si>
  <si>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</si>
  <si>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</si>
  <si>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</si>
  <si>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</si>
  <si>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</si>
  <si>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</si>
  <si>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</si>
  <si>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</si>
  <si>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</si>
  <si>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</si>
  <si>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</si>
  <si>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</si>
  <si>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</si>
  <si>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</si>
  <si>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</si>
  <si>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</si>
  <si>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</si>
  <si>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</si>
  <si>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</si>
  <si>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</si>
  <si>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</si>
  <si>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</si>
  <si>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</si>
  <si>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</si>
  <si>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</si>
  <si>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</si>
  <si>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</si>
  <si>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</si>
  <si>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</si>
  <si>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</si>
  <si>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</si>
  <si>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</si>
  <si>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</si>
  <si>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</si>
  <si>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</si>
  <si>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</si>
  <si>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</si>
  <si>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</si>
  <si>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</si>
  <si>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</si>
  <si>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</si>
  <si>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</si>
  <si>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</si>
  <si>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</si>
  <si>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</si>
  <si>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</si>
  <si>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</si>
  <si>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</si>
  <si>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</si>
  <si>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</si>
  <si>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</si>
  <si>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</si>
  <si>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</si>
  <si>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</si>
  <si>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</si>
  <si>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</si>
  <si>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</si>
  <si>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</si>
  <si>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</si>
  <si>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</si>
  <si>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</si>
  <si>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</si>
  <si>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</si>
  <si>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</si>
  <si>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</si>
  <si>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</si>
  <si>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</si>
  <si>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</si>
  <si>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</si>
  <si>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</si>
  <si>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</si>
  <si>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</si>
  <si>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</si>
  <si>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</si>
  <si>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</si>
  <si>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</si>
  <si>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</si>
  <si>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</si>
  <si>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</si>
  <si>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</si>
  <si>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</si>
  <si>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</si>
  <si>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</si>
  <si>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</si>
  <si>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</si>
  <si>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</si>
  <si>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</si>
  <si>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</si>
  <si>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</si>
  <si>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</si>
  <si>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</si>
  <si>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</si>
  <si>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</si>
  <si>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</si>
  <si>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</si>
  <si>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</si>
  <si>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</si>
  <si>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</si>
  <si>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</si>
  <si>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</si>
  <si>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</si>
  <si>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</si>
  <si>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</si>
  <si>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</si>
  <si>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</si>
  <si>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</si>
  <si>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</si>
  <si>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</si>
  <si>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</si>
  <si>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</si>
  <si>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</si>
  <si>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</si>
  <si>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</si>
  <si>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</si>
  <si>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</si>
  <si>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</si>
  <si>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</si>
  <si>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</si>
  <si>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</si>
  <si>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</si>
  <si>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</si>
  <si>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</si>
  <si>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</si>
  <si>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</si>
  <si>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</si>
  <si>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</si>
  <si>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</si>
  <si>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</si>
  <si>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</si>
  <si>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</si>
  <si>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</si>
  <si>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</si>
  <si>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</si>
  <si>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</si>
  <si>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</si>
  <si>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</si>
  <si>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</si>
  <si>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</si>
  <si>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</si>
  <si>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</si>
  <si>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</si>
  <si>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</si>
  <si>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</si>
  <si>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</si>
  <si>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</si>
  <si>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</si>
  <si>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</si>
  <si>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</si>
  <si>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</si>
  <si>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</si>
  <si>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</si>
  <si>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</si>
  <si>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</si>
  <si>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</si>
  <si>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</si>
  <si>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</si>
  <si>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</si>
  <si>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</si>
  <si>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</si>
  <si>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</si>
  <si>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</si>
  <si>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</si>
  <si>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</si>
  <si>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</si>
  <si>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</si>
  <si>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</si>
  <si>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</si>
  <si>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</si>
  <si>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</si>
  <si>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</si>
  <si>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</si>
  <si>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</si>
  <si>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</si>
  <si>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</si>
  <si>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</si>
  <si>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</si>
  <si>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</si>
  <si>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</si>
  <si>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</si>
  <si>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</si>
  <si>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</si>
  <si>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</si>
  <si>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</si>
  <si>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</si>
  <si>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</si>
  <si>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</si>
  <si>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</si>
  <si>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</si>
  <si>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</si>
  <si>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</si>
  <si>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</si>
  <si>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</si>
  <si>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</si>
  <si>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</si>
  <si>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</si>
  <si>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</si>
  <si>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</si>
  <si>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</si>
  <si>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</si>
  <si>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</si>
  <si>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</si>
  <si>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</si>
  <si>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</si>
  <si>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</si>
  <si>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</si>
  <si>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</si>
  <si>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</si>
  <si>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</si>
  <si>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</si>
  <si>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</si>
  <si>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</si>
  <si>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</si>
  <si>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</si>
  <si>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</si>
  <si>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</si>
  <si>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</si>
  <si>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</si>
  <si>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</si>
  <si>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</si>
  <si>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</si>
  <si>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</si>
  <si>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</si>
  <si>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</si>
  <si>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</si>
  <si>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</si>
  <si>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</si>
  <si>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</si>
  <si>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</si>
  <si>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</si>
  <si>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</si>
  <si>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</si>
  <si>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</si>
  <si>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</si>
  <si>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</si>
  <si>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</si>
  <si>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</si>
  <si>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</si>
  <si>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</si>
  <si>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</si>
  <si>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</si>
  <si>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</si>
  <si>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</si>
  <si>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</si>
  <si>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</si>
  <si>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</si>
  <si>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</si>
  <si>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</si>
  <si>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</si>
  <si>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</si>
  <si>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</si>
  <si>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</si>
  <si>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</si>
  <si>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</si>
  <si>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</si>
  <si>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</si>
  <si>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</si>
  <si>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</si>
  <si>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</si>
  <si>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</si>
  <si>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</si>
  <si>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</si>
  <si>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</si>
  <si>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</si>
  <si>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</si>
  <si>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</si>
  <si>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</si>
  <si>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</si>
  <si>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</si>
  <si>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</si>
  <si>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</si>
  <si>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</si>
  <si>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</si>
  <si>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</si>
  <si>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</si>
  <si>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</si>
  <si>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</si>
  <si>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</si>
  <si>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</si>
  <si>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</si>
  <si>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</si>
  <si>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</si>
  <si>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</si>
  <si>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</si>
  <si>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</si>
  <si>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</si>
  <si>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</si>
  <si>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</si>
  <si>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</si>
  <si>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</si>
  <si>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</si>
  <si>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</si>
  <si>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</si>
  <si>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</si>
  <si>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</si>
  <si>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</si>
  <si>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</si>
  <si>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</si>
  <si>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</si>
  <si>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</si>
  <si>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</si>
  <si>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</si>
  <si>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</si>
  <si>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</si>
  <si>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</si>
  <si>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</si>
  <si>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</si>
  <si>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</si>
  <si>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</si>
  <si>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</si>
  <si>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</si>
  <si>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</si>
  <si>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</si>
  <si>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</si>
  <si>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</si>
  <si>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</si>
  <si>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</si>
  <si>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</si>
  <si>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</si>
  <si>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</si>
  <si>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</si>
  <si>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</si>
  <si>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</si>
  <si>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</si>
  <si>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</si>
  <si>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</si>
  <si>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</si>
  <si>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</si>
  <si>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</si>
  <si>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</si>
  <si>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</si>
  <si>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</si>
  <si>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</si>
  <si>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</si>
  <si>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</si>
  <si>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</si>
  <si>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</si>
  <si>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</si>
  <si>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</si>
  <si>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</si>
  <si>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</si>
  <si>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</si>
  <si>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</si>
  <si>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</si>
  <si>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</si>
  <si>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</si>
  <si>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</si>
  <si>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</si>
  <si>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</si>
  <si>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</si>
  <si>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</si>
  <si>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</si>
  <si>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</si>
  <si>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</si>
  <si>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</si>
  <si>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</si>
  <si>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</si>
  <si>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</si>
  <si>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</si>
  <si>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</si>
  <si>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</si>
  <si>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</si>
  <si>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</si>
  <si>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</si>
  <si>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</si>
  <si>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</si>
  <si>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</si>
  <si>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</si>
  <si>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</si>
  <si>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</si>
  <si>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</si>
  <si>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</si>
  <si>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</si>
  <si>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</si>
  <si>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</si>
  <si>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</si>
  <si>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</si>
  <si>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</si>
  <si>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</si>
  <si>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</si>
  <si>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</si>
  <si>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</si>
  <si>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</si>
  <si>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</si>
  <si>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</si>
  <si>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</si>
  <si>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</si>
  <si>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</si>
  <si>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</si>
  <si>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</si>
  <si>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</si>
  <si>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</si>
  <si>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</si>
  <si>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</si>
  <si>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</si>
  <si>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</si>
  <si>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</si>
  <si>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</si>
  <si>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</si>
  <si>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</si>
  <si>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</si>
  <si>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</si>
  <si>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</si>
  <si>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</si>
  <si>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</si>
  <si>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</si>
  <si>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</si>
  <si>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</si>
  <si>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</si>
  <si>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</si>
  <si>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</si>
  <si>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</si>
  <si>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</si>
  <si>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</si>
  <si>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</si>
  <si>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</si>
  <si>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</si>
  <si>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</si>
  <si>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</si>
  <si>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</si>
  <si>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</si>
  <si>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</si>
  <si>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</si>
  <si>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</si>
  <si>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</si>
  <si>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</si>
  <si>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</si>
  <si>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</si>
  <si>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</si>
  <si>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</si>
  <si>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</si>
  <si>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</si>
  <si>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</si>
  <si>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</si>
  <si>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</si>
  <si>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</si>
  <si>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</si>
  <si>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</si>
  <si>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</si>
  <si>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</si>
  <si>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</si>
  <si>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</si>
  <si>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</si>
  <si>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</si>
  <si>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</si>
  <si>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</si>
  <si>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</si>
  <si>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</si>
  <si>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</si>
  <si>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</si>
  <si>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</si>
  <si>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</si>
  <si>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</si>
  <si>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</si>
  <si>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</si>
  <si>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</si>
  <si>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</si>
  <si>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</si>
  <si>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</si>
  <si>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</si>
  <si>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</si>
  <si>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</si>
  <si>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</si>
  <si>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</si>
  <si>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</si>
  <si>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</si>
  <si>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</si>
  <si>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</si>
  <si>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</si>
  <si>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</si>
  <si>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</si>
  <si>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</si>
  <si>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</si>
  <si>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</si>
  <si>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</si>
  <si>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</si>
  <si>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</si>
  <si>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</si>
  <si>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</si>
  <si>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</si>
  <si>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</si>
  <si>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</si>
  <si>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</si>
  <si>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</si>
  <si>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</si>
  <si>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</si>
  <si>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</si>
  <si>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</si>
  <si>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</si>
  <si>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</si>
  <si>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</si>
  <si>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</si>
  <si>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</si>
  <si>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</si>
  <si>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</si>
  <si>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</si>
  <si>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</si>
  <si>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</si>
  <si>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</si>
  <si>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</si>
  <si>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</si>
  <si>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</si>
  <si>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</si>
  <si>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</si>
  <si>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</si>
  <si>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</si>
  <si>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</si>
  <si>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</si>
  <si>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</si>
  <si>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</si>
  <si>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</si>
  <si>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</si>
  <si>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</si>
  <si>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</si>
  <si>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</si>
  <si>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</si>
  <si>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</si>
  <si>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</si>
  <si>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</si>
  <si>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</si>
  <si>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</si>
  <si>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</si>
  <si>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</si>
  <si>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</si>
  <si>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</si>
  <si>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</si>
  <si>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</si>
  <si>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</si>
  <si>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</si>
  <si>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</si>
  <si>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</si>
  <si>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</si>
  <si>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</si>
  <si>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</si>
  <si>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</si>
  <si>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</si>
  <si>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</si>
  <si>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</si>
  <si>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</si>
  <si>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</si>
  <si>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</si>
  <si>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</si>
  <si>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</si>
  <si>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</si>
  <si>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</si>
  <si>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</si>
  <si>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</si>
  <si>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</si>
  <si>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</si>
  <si>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</si>
  <si>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</si>
  <si>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</si>
  <si>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</si>
  <si>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</si>
  <si>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</si>
  <si>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</si>
  <si>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</si>
  <si>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</si>
  <si>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</si>
  <si>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</si>
  <si>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</si>
  <si>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</si>
  <si>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</si>
  <si>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</si>
  <si>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</si>
  <si>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</si>
  <si>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</si>
  <si>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</si>
  <si>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</si>
  <si>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</si>
  <si>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</si>
  <si>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</si>
  <si>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</si>
  <si>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</si>
  <si>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</si>
  <si>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</si>
  <si>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</si>
  <si>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</si>
  <si>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</si>
  <si>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</si>
  <si>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</si>
  <si>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</si>
  <si>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</si>
  <si>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</si>
  <si>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</si>
  <si>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</si>
  <si>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</si>
  <si>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</si>
  <si>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</si>
  <si>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</si>
  <si>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</si>
  <si>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</si>
  <si>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</si>
  <si>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</si>
  <si>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</si>
  <si>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</si>
  <si>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</si>
  <si>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</si>
  <si>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</si>
  <si>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</si>
  <si>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</si>
  <si>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</si>
  <si>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</si>
  <si>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</si>
  <si>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</si>
  <si>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</si>
  <si>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</si>
  <si>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</si>
  <si>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</si>
  <si>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</si>
  <si>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</si>
  <si>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</si>
  <si>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</si>
  <si>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</si>
  <si>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</si>
  <si>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</si>
  <si>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</si>
  <si>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</si>
  <si>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</si>
  <si>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</si>
  <si>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</si>
  <si>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</si>
  <si>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</si>
  <si>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</si>
  <si>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</si>
  <si>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</si>
  <si>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</si>
  <si>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</si>
  <si>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</si>
  <si>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</si>
  <si>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</si>
  <si>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</si>
  <si>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</si>
  <si>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</si>
  <si>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</si>
  <si>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</si>
  <si>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</si>
  <si>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</si>
  <si>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</si>
  <si>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</si>
  <si>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</si>
  <si>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</si>
  <si>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</si>
  <si>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</si>
  <si>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</si>
  <si>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</si>
  <si>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</si>
  <si>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</si>
  <si>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</si>
  <si>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</si>
  <si>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</si>
  <si>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</si>
  <si>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</si>
  <si>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</si>
  <si>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</si>
  <si>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</si>
  <si>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</si>
  <si>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</si>
  <si>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</si>
  <si>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</si>
  <si>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</si>
  <si>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</si>
  <si>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</si>
  <si>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</si>
  <si>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</si>
  <si>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</si>
  <si>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</si>
  <si>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</si>
  <si>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</si>
  <si>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</si>
  <si>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</si>
  <si>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</si>
  <si>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</si>
  <si>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</si>
  <si>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</si>
  <si>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</si>
  <si>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</si>
  <si>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</si>
  <si>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</si>
  <si>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</si>
  <si>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</si>
  <si>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</si>
  <si>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</si>
  <si>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</si>
  <si>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</si>
  <si>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</si>
  <si>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</si>
  <si>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</si>
  <si>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</si>
  <si>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</si>
  <si>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</si>
  <si>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</si>
  <si>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</si>
  <si>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</si>
  <si>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</si>
  <si>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</si>
  <si>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</si>
  <si>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</si>
  <si>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</si>
  <si>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</si>
  <si>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</si>
  <si>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</si>
  <si>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</si>
  <si>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</si>
  <si>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</si>
  <si>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</si>
  <si>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</si>
  <si>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</si>
  <si>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</si>
  <si>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</si>
  <si>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</si>
  <si>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</si>
  <si>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</si>
  <si>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</si>
  <si>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</si>
  <si>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</si>
  <si>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</si>
  <si>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</si>
  <si>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</si>
  <si>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</si>
  <si>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</si>
  <si>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</si>
  <si>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</si>
  <si>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</si>
  <si>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</si>
  <si>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</si>
  <si>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</si>
  <si>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</si>
  <si>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</si>
  <si>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</si>
  <si>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</si>
  <si>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</si>
  <si>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</si>
  <si>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</si>
  <si>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</si>
  <si>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</si>
  <si>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</si>
  <si>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</si>
  <si>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</si>
  <si>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</si>
  <si>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</si>
  <si>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</si>
  <si>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</si>
  <si>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</si>
  <si>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</si>
  <si>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</si>
  <si>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</si>
  <si>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</si>
  <si>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</si>
  <si>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</si>
  <si>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</si>
  <si>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</si>
  <si>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</si>
  <si>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</si>
  <si>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</si>
  <si>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</si>
  <si>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</si>
  <si>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</si>
  <si>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</si>
  <si>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</si>
  <si>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</si>
  <si>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</si>
  <si>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</si>
  <si>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</si>
  <si>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</si>
  <si>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</si>
  <si>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</si>
  <si>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</si>
  <si>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</si>
  <si>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</si>
  <si>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</si>
  <si>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</si>
  <si>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</si>
  <si>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</si>
  <si>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</si>
  <si>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</si>
  <si>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</si>
  <si>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</si>
  <si>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</si>
  <si>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</si>
  <si>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</si>
  <si>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</si>
  <si>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</si>
  <si>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</si>
  <si>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</si>
  <si>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</si>
  <si>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</si>
  <si>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</si>
  <si>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</si>
  <si>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</si>
  <si>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</si>
  <si>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</si>
  <si>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</si>
  <si>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</si>
  <si>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</si>
  <si>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</si>
  <si>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</si>
  <si>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</si>
  <si>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</si>
  <si>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</si>
  <si>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</si>
  <si>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</si>
  <si>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</si>
  <si>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</si>
  <si>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</si>
  <si>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</si>
  <si>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</si>
  <si>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</si>
  <si>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</si>
  <si>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</si>
  <si>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</si>
  <si>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</si>
  <si>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</si>
  <si>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</si>
  <si>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</si>
  <si>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</si>
  <si>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</si>
  <si>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</si>
  <si>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</si>
  <si>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</si>
  <si>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</si>
  <si>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</si>
  <si>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</si>
  <si>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</si>
  <si>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</si>
  <si>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</si>
  <si>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</si>
  <si>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</si>
  <si>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</si>
  <si>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</si>
  <si>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</si>
  <si>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</si>
  <si>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</si>
  <si>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</si>
  <si>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</si>
  <si>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</si>
  <si>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</si>
  <si>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</si>
  <si>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</si>
  <si>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</si>
  <si>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</si>
  <si>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</si>
  <si>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</si>
  <si>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</si>
  <si>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</si>
  <si>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</si>
  <si>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</si>
  <si>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</si>
  <si>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</si>
  <si>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</si>
  <si>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</si>
  <si>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</si>
  <si>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</si>
  <si>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</si>
  <si>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</si>
  <si>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</si>
  <si>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</si>
  <si>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</si>
  <si>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</si>
  <si>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</si>
  <si>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</si>
  <si>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</si>
  <si>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</si>
  <si>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</si>
  <si>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</si>
  <si>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</si>
  <si>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</si>
  <si>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</si>
  <si>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</si>
  <si>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</si>
  <si>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</si>
  <si>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</si>
  <si>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</si>
  <si>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</si>
  <si>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</si>
  <si>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</si>
  <si>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</si>
  <si>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</si>
  <si>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</si>
  <si>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</si>
  <si>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</si>
  <si>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</si>
  <si>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</si>
  <si>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</si>
  <si>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</si>
  <si>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</si>
  <si>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</si>
  <si>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</si>
  <si>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</si>
  <si>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</si>
  <si>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</si>
  <si>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</si>
  <si>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</si>
  <si>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</si>
  <si>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</si>
  <si>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</si>
  <si>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</si>
  <si>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</si>
  <si>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</si>
  <si>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</si>
  <si>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</si>
  <si>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</si>
  <si>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</si>
  <si>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</si>
  <si>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</si>
  <si>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</si>
  <si>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</si>
  <si>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</si>
  <si>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</si>
  <si>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</si>
  <si>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</si>
  <si>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</si>
  <si>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</si>
  <si>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</si>
  <si>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</si>
  <si>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</si>
  <si>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</si>
  <si>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</si>
  <si>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</si>
  <si>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</si>
  <si>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</si>
  <si>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</si>
  <si>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</si>
  <si>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</si>
  <si>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</si>
  <si>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</si>
  <si>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</si>
  <si>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</si>
  <si>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</si>
  <si>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</si>
  <si>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</si>
  <si>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</si>
  <si>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</si>
  <si>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</si>
  <si>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</si>
  <si>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</si>
  <si>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</si>
  <si>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</si>
  <si>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</si>
  <si>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</si>
  <si>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</si>
  <si>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</si>
  <si>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</si>
  <si>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</si>
  <si>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</si>
  <si>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</si>
  <si>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</si>
  <si>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</si>
  <si>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</si>
  <si>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</si>
  <si>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</si>
  <si>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</si>
  <si>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</si>
  <si>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</si>
  <si>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</si>
  <si>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</si>
  <si>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</si>
  <si>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</si>
  <si>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</si>
  <si>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</si>
  <si>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</si>
  <si>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</si>
  <si>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</si>
  <si>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</si>
  <si>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</si>
  <si>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</si>
  <si>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</si>
  <si>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</si>
  <si>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</si>
  <si>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</si>
  <si>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</si>
  <si>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</si>
  <si>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</si>
  <si>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</si>
  <si>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</si>
  <si>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</si>
  <si>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</si>
  <si>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</si>
  <si>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</si>
  <si>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</si>
  <si>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</si>
  <si>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</si>
  <si>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</si>
  <si>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</si>
  <si>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</si>
  <si>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</si>
  <si>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</si>
  <si>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</si>
  <si>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</si>
  <si>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</si>
  <si>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</si>
  <si>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</si>
  <si>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</si>
  <si>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</si>
  <si>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</si>
  <si>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</si>
  <si>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</si>
  <si>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</si>
  <si>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</si>
  <si>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</si>
  <si>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</si>
  <si>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</si>
  <si>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</si>
  <si>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</si>
  <si>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</si>
  <si>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</si>
  <si>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</si>
  <si>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</si>
  <si>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</si>
  <si>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</si>
  <si>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</si>
  <si>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</si>
  <si>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</si>
  <si>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</si>
  <si>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</si>
  <si>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</si>
  <si>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</si>
  <si>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</si>
  <si>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</si>
  <si>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</si>
  <si>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</si>
  <si>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</si>
  <si>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</si>
  <si>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</si>
  <si>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</si>
  <si>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</si>
  <si>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</si>
  <si>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</si>
  <si>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</si>
  <si>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</si>
  <si>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</si>
  <si>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</si>
  <si>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</si>
  <si>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</si>
  <si>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</si>
  <si>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</si>
  <si>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</si>
  <si>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</si>
  <si>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</si>
  <si>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</si>
  <si>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</si>
  <si>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</si>
  <si>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</si>
  <si>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</si>
  <si>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</si>
  <si>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</si>
  <si>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</si>
  <si>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</si>
  <si>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</si>
  <si>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</si>
  <si>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</si>
  <si>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</si>
  <si>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</si>
  <si>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</si>
  <si>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</si>
  <si>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</si>
  <si>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</si>
  <si>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</si>
  <si>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</si>
  <si>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</si>
  <si>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</si>
  <si>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</si>
  <si>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</si>
  <si>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</si>
  <si>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</si>
  <si>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</si>
  <si>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</si>
  <si>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</si>
  <si>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</si>
  <si>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</si>
  <si>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</si>
  <si>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</si>
  <si>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</si>
  <si>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</si>
  <si>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</si>
  <si>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</si>
  <si>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</si>
  <si>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</si>
  <si>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</si>
  <si>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</si>
  <si>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</si>
  <si>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</si>
  <si>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</si>
  <si>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</si>
  <si>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</si>
  <si>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</si>
  <si>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</si>
  <si>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</si>
  <si>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</si>
  <si>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</si>
  <si>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</si>
  <si>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</si>
  <si>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</si>
  <si>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</si>
  <si>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</si>
  <si>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</si>
  <si>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</si>
  <si>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</si>
  <si>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</si>
  <si>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</si>
  <si>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</si>
  <si>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</si>
  <si>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</si>
  <si>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</si>
  <si>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</si>
  <si>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</si>
  <si>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</si>
  <si>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</si>
  <si>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</si>
  <si>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</si>
  <si>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</si>
  <si>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</si>
  <si>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</si>
  <si>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</si>
  <si>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</si>
  <si>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</si>
  <si>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</si>
  <si>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</si>
  <si>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</si>
  <si>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</si>
  <si>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</si>
  <si>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</si>
  <si>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</si>
  <si>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</si>
  <si>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</si>
  <si>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</si>
  <si>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</si>
  <si>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</si>
  <si>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</si>
  <si>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</si>
  <si>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</si>
  <si>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</si>
  <si>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</si>
  <si>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</si>
  <si>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</si>
  <si>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</si>
  <si>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</si>
  <si>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</si>
  <si>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</si>
  <si>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</si>
  <si>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</si>
  <si>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</si>
  <si>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</si>
  <si>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</si>
  <si>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</si>
  <si>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</si>
  <si>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</si>
  <si>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</si>
  <si>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</si>
  <si>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</si>
  <si>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</si>
  <si>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</si>
  <si>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</si>
  <si>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</si>
  <si>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</si>
  <si>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</si>
  <si>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</si>
  <si>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</si>
  <si>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</si>
  <si>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</si>
  <si>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</si>
  <si>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</si>
  <si>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</si>
  <si>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</si>
  <si>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</si>
  <si>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</si>
  <si>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</si>
  <si>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</si>
  <si>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</si>
  <si>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</si>
  <si>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</si>
  <si>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</si>
  <si>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</si>
  <si>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</si>
  <si>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</si>
  <si>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</si>
  <si>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</si>
  <si>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</si>
  <si>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</si>
  <si>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</si>
  <si>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</si>
  <si>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</si>
  <si>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</si>
  <si>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</si>
  <si>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</si>
  <si>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</si>
  <si>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</si>
  <si>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</si>
  <si>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</si>
  <si>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</si>
  <si>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</si>
  <si>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</si>
  <si>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</si>
  <si>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</si>
  <si>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</si>
  <si>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</si>
  <si>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</si>
  <si>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</si>
  <si>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</si>
  <si>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</si>
  <si>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</si>
  <si>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</si>
  <si>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</si>
  <si>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</si>
  <si>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</si>
  <si>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</si>
  <si>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</si>
  <si>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</si>
  <si>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</si>
  <si>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</si>
  <si>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</si>
  <si>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</si>
  <si>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</si>
  <si>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</si>
  <si>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</si>
  <si>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</si>
  <si>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</si>
  <si>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</si>
  <si>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</si>
  <si>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</si>
  <si>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</si>
  <si>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</si>
  <si>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</si>
  <si>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</si>
  <si>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</si>
  <si>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</si>
  <si>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</si>
  <si>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</si>
  <si>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</si>
  <si>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</si>
  <si>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</si>
  <si>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</si>
  <si>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</si>
  <si>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</si>
  <si>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</si>
  <si>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</si>
  <si>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</si>
  <si>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</si>
  <si>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</si>
  <si>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</si>
  <si>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</si>
  <si>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</si>
  <si>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</si>
  <si>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</si>
  <si>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</si>
  <si>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</si>
  <si>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</si>
  <si>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</si>
  <si>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</si>
  <si>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</si>
  <si>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</si>
  <si>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</si>
  <si>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</si>
  <si>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</si>
  <si>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</si>
  <si>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</si>
  <si>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</si>
  <si>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</si>
  <si>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</si>
  <si>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</si>
  <si>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</si>
  <si>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</si>
  <si>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</si>
  <si>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</si>
  <si>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</si>
  <si>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</si>
  <si>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</si>
  <si>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</si>
  <si>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</si>
  <si>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</si>
  <si>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</si>
  <si>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</si>
  <si>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</si>
  <si>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</si>
  <si>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</si>
  <si>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</si>
  <si>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</si>
  <si>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</si>
  <si>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</si>
  <si>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</si>
  <si>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</si>
  <si>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</si>
  <si>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</si>
  <si>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</si>
  <si>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</si>
  <si>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</si>
  <si>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</si>
  <si>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</si>
  <si>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</si>
  <si>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</si>
  <si>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</si>
  <si>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</si>
  <si>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</si>
  <si>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</si>
  <si>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</si>
  <si>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</si>
  <si>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</si>
  <si>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</si>
  <si>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</si>
  <si>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</si>
  <si>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</si>
  <si>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</si>
  <si>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</si>
  <si>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</si>
  <si>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</si>
  <si>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</si>
  <si>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</si>
  <si>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</si>
  <si>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</si>
  <si>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</si>
  <si>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</si>
  <si>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</si>
  <si>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</si>
  <si>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</si>
  <si>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</si>
  <si>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</si>
  <si>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</si>
  <si>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</si>
  <si>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</si>
  <si>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</si>
  <si>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</si>
  <si>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</si>
  <si>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</si>
  <si>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</si>
  <si>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</si>
  <si>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</si>
  <si>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</si>
  <si>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</si>
  <si>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</si>
  <si>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</si>
  <si>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</si>
  <si>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</si>
  <si>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</si>
  <si>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</si>
  <si>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</si>
  <si>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</si>
  <si>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</si>
  <si>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</si>
  <si>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</si>
  <si>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</si>
  <si>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</si>
  <si>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</si>
  <si>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</si>
  <si>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</si>
  <si>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</si>
  <si>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</si>
  <si>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</si>
  <si>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</si>
  <si>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</si>
  <si>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</si>
  <si>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</si>
  <si>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</si>
  <si>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</si>
  <si>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</si>
  <si>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</si>
  <si>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</si>
  <si>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</si>
  <si>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</si>
  <si>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</si>
  <si>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</si>
  <si>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</si>
  <si>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</si>
  <si>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</si>
  <si>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</si>
  <si>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</si>
  <si>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</si>
  <si>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</si>
  <si>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</si>
  <si>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</si>
  <si>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</si>
  <si>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</si>
  <si>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</si>
  <si>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</si>
  <si>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</si>
  <si>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</si>
  <si>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</si>
  <si>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</si>
  <si>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</si>
  <si>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</si>
  <si>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</si>
  <si>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</si>
  <si>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</si>
  <si>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</si>
  <si>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</si>
  <si>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</si>
  <si>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</si>
  <si>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</si>
  <si>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</si>
  <si>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</si>
  <si>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</si>
  <si>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</si>
  <si>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</si>
  <si>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</si>
  <si>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</si>
  <si>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</si>
  <si>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</si>
  <si>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</si>
  <si>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</si>
  <si>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</si>
  <si>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</si>
  <si>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</si>
  <si>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</si>
  <si>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</si>
  <si>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</si>
  <si>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</si>
  <si>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</si>
  <si>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</si>
  <si>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</si>
  <si>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</si>
  <si>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</si>
  <si>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</si>
  <si>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</si>
  <si>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</si>
  <si>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</si>
  <si>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</si>
  <si>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</si>
  <si>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</si>
  <si>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</si>
  <si>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</si>
  <si>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</si>
  <si>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</si>
  <si>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</si>
  <si>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</si>
  <si>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</si>
  <si>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</si>
  <si>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</si>
  <si>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</si>
  <si>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</si>
  <si>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</si>
  <si>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</si>
  <si>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</si>
  <si>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</si>
  <si>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</si>
  <si>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</si>
  <si>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</si>
  <si>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</si>
  <si>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</si>
  <si>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</si>
  <si>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</si>
  <si>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</si>
  <si>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</si>
  <si>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</si>
  <si>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</si>
  <si>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</si>
  <si>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</si>
  <si>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</si>
  <si>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</si>
  <si>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</si>
  <si>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</si>
  <si>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</si>
  <si>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</si>
  <si>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</si>
  <si>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</si>
  <si>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</si>
  <si>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</si>
  <si>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</si>
  <si>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</si>
  <si>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</si>
  <si>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</si>
  <si>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</si>
  <si>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</si>
  <si>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</si>
  <si>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</si>
  <si>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</si>
  <si>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</si>
  <si>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</si>
  <si>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</si>
  <si>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</si>
  <si>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</si>
  <si>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</si>
  <si>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</si>
  <si>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</si>
  <si>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</si>
  <si>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</si>
  <si>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</si>
  <si>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</si>
  <si>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</si>
  <si>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</si>
  <si>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</si>
  <si>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</si>
  <si>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</si>
  <si>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</si>
  <si>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</si>
  <si>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</si>
  <si>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</si>
  <si>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</si>
  <si>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</si>
  <si>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</si>
  <si>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</si>
  <si>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</si>
  <si>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</si>
  <si>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</si>
  <si>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</si>
  <si>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</si>
  <si>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</si>
  <si>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</si>
  <si>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</si>
  <si>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</si>
  <si>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</si>
  <si>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</si>
  <si>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</si>
  <si>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</si>
  <si>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</si>
  <si>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</si>
  <si>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</si>
  <si>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</si>
  <si>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</si>
  <si>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</si>
  <si>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</si>
  <si>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</si>
  <si>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</si>
  <si>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</si>
  <si>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</si>
  <si>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</si>
  <si>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</si>
  <si>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</si>
  <si>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</si>
  <si>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</si>
  <si>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</si>
  <si>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</si>
  <si>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</si>
  <si>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</si>
  <si>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</si>
  <si>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</si>
  <si>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</si>
  <si>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</si>
  <si>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</si>
  <si>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</si>
  <si>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</si>
  <si>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</si>
  <si>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</si>
  <si>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</si>
  <si>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</si>
  <si>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</si>
  <si>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</si>
  <si>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</si>
  <si>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</si>
  <si>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</si>
  <si>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</si>
  <si>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</si>
  <si>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</si>
  <si>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</si>
  <si>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</si>
  <si>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</si>
  <si>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</si>
  <si>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</si>
  <si>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</si>
  <si>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</si>
  <si>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</si>
  <si>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</si>
  <si>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</si>
  <si>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</si>
  <si>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</si>
  <si>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</si>
  <si>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</si>
  <si>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</si>
  <si>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</si>
  <si>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</si>
  <si>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</si>
  <si>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</si>
  <si>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</si>
  <si>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</si>
  <si>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</si>
  <si>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</si>
  <si>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</si>
  <si>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</si>
  <si>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</si>
  <si>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</si>
  <si>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</si>
  <si>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</si>
  <si>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</si>
  <si>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</si>
  <si>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</si>
  <si>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</si>
  <si>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</si>
  <si>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</si>
  <si>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</si>
  <si>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</si>
  <si>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</si>
  <si>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</si>
  <si>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</si>
  <si>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</si>
  <si>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</si>
  <si>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</si>
  <si>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</si>
  <si>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</si>
  <si>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</si>
  <si>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</si>
  <si>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</si>
  <si>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</si>
  <si>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</si>
  <si>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</si>
  <si>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</si>
  <si>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</si>
  <si>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</si>
  <si>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</si>
  <si>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</si>
  <si>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</si>
  <si>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</si>
  <si>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</si>
  <si>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</si>
  <si>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</si>
  <si>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</si>
  <si>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</si>
  <si>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</si>
  <si>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</si>
  <si>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</si>
  <si>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</si>
  <si>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</si>
  <si>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</si>
  <si>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</si>
  <si>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</si>
  <si>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</si>
  <si>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</si>
  <si>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</si>
  <si>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</si>
  <si>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</si>
  <si>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</si>
  <si>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</si>
  <si>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</si>
  <si>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</si>
  <si>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</si>
  <si>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</si>
  <si>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</si>
  <si>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</si>
  <si>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</si>
  <si>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</si>
  <si>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</si>
  <si>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</si>
  <si>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</si>
  <si>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</si>
  <si>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</si>
  <si>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</si>
  <si>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</si>
  <si>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</si>
  <si>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</si>
  <si>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</si>
  <si>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</si>
  <si>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</si>
  <si>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</si>
  <si>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</si>
  <si>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</si>
  <si>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</si>
  <si>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</si>
  <si>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</si>
  <si>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</si>
  <si>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</si>
  <si>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</si>
  <si>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</si>
  <si>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</si>
  <si>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</si>
  <si>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</si>
  <si>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</si>
  <si>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</si>
  <si>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</si>
  <si>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</si>
  <si>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</si>
  <si>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</si>
  <si>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</si>
  <si>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</si>
  <si>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</si>
  <si>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</si>
  <si>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</si>
  <si>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</si>
  <si>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</si>
  <si>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</si>
  <si>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</si>
  <si>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</si>
  <si>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</si>
  <si>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</si>
  <si>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</si>
  <si>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</si>
  <si>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</si>
  <si>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</si>
  <si>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</si>
  <si>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</si>
  <si>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</si>
  <si>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</si>
  <si>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</si>
  <si>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</si>
  <si>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</si>
  <si>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</si>
  <si>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</si>
  <si>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</si>
  <si>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</si>
  <si>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</si>
  <si>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</si>
  <si>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</si>
  <si>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</si>
  <si>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</si>
  <si>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</si>
  <si>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</si>
  <si>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</si>
  <si>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</si>
  <si>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</si>
  <si>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</si>
  <si>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</si>
  <si>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</si>
  <si>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</si>
  <si>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</si>
  <si>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</si>
  <si>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</si>
  <si>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</si>
  <si>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</si>
  <si>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</si>
  <si>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</si>
  <si>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</si>
  <si>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</si>
  <si>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</si>
  <si>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</si>
  <si>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</si>
  <si>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</si>
  <si>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</si>
  <si>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</si>
  <si>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</si>
  <si>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</si>
  <si>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</si>
  <si>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</si>
  <si>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</si>
  <si>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</si>
  <si>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</si>
  <si>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</si>
  <si>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</si>
  <si>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</si>
  <si>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</si>
  <si>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</si>
  <si>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</si>
  <si>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</si>
  <si>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</si>
  <si>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</si>
  <si>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</si>
  <si>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</si>
  <si>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</si>
  <si>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</si>
  <si>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</si>
  <si>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</si>
  <si>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</si>
  <si>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</si>
  <si>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</si>
  <si>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</si>
  <si>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</si>
  <si>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</si>
  <si>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</si>
  <si>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</si>
  <si>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</si>
  <si>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</si>
  <si>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</si>
  <si>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</si>
  <si>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</si>
  <si>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</si>
  <si>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</si>
  <si>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</si>
  <si>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</si>
  <si>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</si>
  <si>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</si>
  <si>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</si>
  <si>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</si>
  <si>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</si>
  <si>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</si>
  <si>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</si>
  <si>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</si>
  <si>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</si>
  <si>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</si>
  <si>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</si>
  <si>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</si>
  <si>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</si>
  <si>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</si>
  <si>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</si>
  <si>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</si>
  <si>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</si>
  <si>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</si>
  <si>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</si>
  <si>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</si>
  <si>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</si>
  <si>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</si>
  <si>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</si>
  <si>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</si>
  <si>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</si>
  <si>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</si>
  <si>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</si>
  <si>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</si>
  <si>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</si>
  <si>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</si>
  <si>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</si>
  <si>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</si>
  <si>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</si>
  <si>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</si>
  <si>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</si>
  <si>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</si>
  <si>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</si>
  <si>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</si>
  <si>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</si>
  <si>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</si>
  <si>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</si>
  <si>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</si>
  <si>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</si>
  <si>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</si>
  <si>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</si>
  <si>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</si>
  <si>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</si>
  <si>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</si>
  <si>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</si>
  <si>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</si>
  <si>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</si>
  <si>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</si>
  <si>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</si>
  <si>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</si>
  <si>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</si>
  <si>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</si>
  <si>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</si>
  <si>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</si>
  <si>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</si>
  <si>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</si>
  <si>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</si>
  <si>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</si>
  <si>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</si>
  <si>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</si>
  <si>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</si>
  <si>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</si>
  <si>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</si>
  <si>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</si>
  <si>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</si>
  <si>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</si>
  <si>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</si>
  <si>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</si>
  <si>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</si>
  <si>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</si>
  <si>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</si>
  <si>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</si>
  <si>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</si>
  <si>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</si>
  <si>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</si>
  <si>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</si>
  <si>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</si>
  <si>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</si>
  <si>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</si>
  <si>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</si>
  <si>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</si>
  <si>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</si>
  <si>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</si>
  <si>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</si>
  <si>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</si>
  <si>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</si>
  <si>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</si>
  <si>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</si>
  <si>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</si>
  <si>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</si>
  <si>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</si>
  <si>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</si>
  <si>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</si>
  <si>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</si>
  <si>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</si>
  <si>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</si>
  <si>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</si>
  <si>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</si>
  <si>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</si>
  <si>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</si>
  <si>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</si>
  <si>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</si>
  <si>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</si>
  <si>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</si>
  <si>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</si>
  <si>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</si>
  <si>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</si>
  <si>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</si>
  <si>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</si>
  <si>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</si>
  <si>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</si>
  <si>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</si>
  <si>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</si>
  <si>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</si>
  <si>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</si>
  <si>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</si>
  <si>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</si>
  <si>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</si>
  <si>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</si>
  <si>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</si>
  <si>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</si>
  <si>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</si>
  <si>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</si>
  <si>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</si>
  <si>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</si>
  <si>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</si>
  <si>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</si>
  <si>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</si>
  <si>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</si>
  <si>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</si>
  <si>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</si>
  <si>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</si>
  <si>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</si>
  <si>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</si>
  <si>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</si>
  <si>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</si>
  <si>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</si>
  <si>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</si>
  <si>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</si>
  <si>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</si>
  <si>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</si>
  <si>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</si>
  <si>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</si>
  <si>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</si>
  <si>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</si>
  <si>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</si>
  <si>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</si>
  <si>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</si>
  <si>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</si>
  <si>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</si>
  <si>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</si>
  <si>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</si>
  <si>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</si>
  <si>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</si>
  <si>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</si>
  <si>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</si>
  <si>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</si>
  <si>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</si>
  <si>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</si>
  <si>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</si>
  <si>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</si>
  <si>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</si>
  <si>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</si>
  <si>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</si>
  <si>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</si>
  <si>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</si>
  <si>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</si>
  <si>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</si>
  <si>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</si>
  <si>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</si>
  <si>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</si>
  <si>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</si>
  <si>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</si>
  <si>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</si>
  <si>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</si>
  <si>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</si>
  <si>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</si>
  <si>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</si>
  <si>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</si>
  <si>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</si>
  <si>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</si>
  <si>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</si>
  <si>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</si>
  <si>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</si>
  <si>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</si>
  <si>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</si>
  <si>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</si>
  <si>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</si>
  <si>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</si>
  <si>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</si>
  <si>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</si>
  <si>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</si>
  <si>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</si>
  <si>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</si>
  <si>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</si>
  <si>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</si>
  <si>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</si>
  <si>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</si>
  <si>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</si>
  <si>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</si>
  <si>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</si>
  <si>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</si>
  <si>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</si>
  <si>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</si>
  <si>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</si>
  <si>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</si>
  <si>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</si>
  <si>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</si>
  <si>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</si>
  <si>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</si>
  <si>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</si>
  <si>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</si>
  <si>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</si>
  <si>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</si>
  <si>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</si>
  <si>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</si>
  <si>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</si>
  <si>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</si>
  <si>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</si>
  <si>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</si>
  <si>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</si>
  <si>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</si>
  <si>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</si>
  <si>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</si>
  <si>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</si>
  <si>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</si>
  <si>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</si>
  <si>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</si>
  <si>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</si>
  <si>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</si>
  <si>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</si>
  <si>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</si>
  <si>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</si>
  <si>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</si>
  <si>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</si>
  <si>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</si>
  <si>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</si>
  <si>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</si>
  <si>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</si>
  <si>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</si>
  <si>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</si>
  <si>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</si>
  <si>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</si>
  <si>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</si>
  <si>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</si>
  <si>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</si>
  <si>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</si>
  <si>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</si>
  <si>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</si>
  <si>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</si>
  <si>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</si>
  <si>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</si>
  <si>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</si>
  <si>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</si>
  <si>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</si>
  <si>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</si>
  <si>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</si>
  <si>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</si>
  <si>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</si>
  <si>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</si>
  <si>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</si>
  <si>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</si>
  <si>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</si>
  <si>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</si>
  <si>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</si>
  <si>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</si>
  <si>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</si>
  <si>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</si>
  <si>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</si>
  <si>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</si>
  <si>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</si>
  <si>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</si>
  <si>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</si>
  <si>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</si>
  <si>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</si>
  <si>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</si>
  <si>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</si>
  <si>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</si>
  <si>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</si>
  <si>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</si>
  <si>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</si>
  <si>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</si>
  <si>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</si>
  <si>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</si>
  <si>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</si>
  <si>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</si>
  <si>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</si>
  <si>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</si>
  <si>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</si>
  <si>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</si>
  <si>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</si>
  <si>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</si>
  <si>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</si>
  <si>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</si>
  <si>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</si>
  <si>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</si>
  <si>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</si>
  <si>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</si>
  <si>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</si>
  <si>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</si>
  <si>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</si>
  <si>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</si>
  <si>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</si>
  <si>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</si>
  <si>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</si>
  <si>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</si>
  <si>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</si>
  <si>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</si>
  <si>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</si>
  <si>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</si>
  <si>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</si>
  <si>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</si>
  <si>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</si>
  <si>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</si>
  <si>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</si>
  <si>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</si>
  <si>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</si>
  <si>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</si>
  <si>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</si>
  <si>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</si>
  <si>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</si>
  <si>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</si>
  <si>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</si>
  <si>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</si>
  <si>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</si>
  <si>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</si>
  <si>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</si>
  <si>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</si>
  <si>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</si>
  <si>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</si>
  <si>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</si>
  <si>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</si>
  <si>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</si>
  <si>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</si>
  <si>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</si>
  <si>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</si>
  <si>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</si>
  <si>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</si>
  <si>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</si>
  <si>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</si>
  <si>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</si>
  <si>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</si>
  <si>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</si>
  <si>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</si>
  <si>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</si>
  <si>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</si>
  <si>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</si>
  <si>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</si>
  <si>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</si>
  <si>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</si>
  <si>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</si>
  <si>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</si>
  <si>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</si>
  <si>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</si>
  <si>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</si>
  <si>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</si>
  <si>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</si>
  <si>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</si>
  <si>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</si>
  <si>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</si>
  <si>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</si>
  <si>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</si>
  <si>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</si>
  <si>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</si>
  <si>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</si>
  <si>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</si>
  <si>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</si>
  <si>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</si>
  <si>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</si>
  <si>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</si>
  <si>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</si>
  <si>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</si>
  <si>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</si>
  <si>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</si>
  <si>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</si>
  <si>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</si>
  <si>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</si>
  <si>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</si>
  <si>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</si>
  <si>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</si>
  <si>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</si>
  <si>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</si>
  <si>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</si>
  <si>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</si>
  <si>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</si>
  <si>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</si>
  <si>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</si>
  <si>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</si>
  <si>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</si>
  <si>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</si>
  <si>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</si>
  <si>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</si>
  <si>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</si>
  <si>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</si>
  <si>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</si>
  <si>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</si>
  <si>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</si>
  <si>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</si>
  <si>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</si>
  <si>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</si>
  <si>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</si>
  <si>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</si>
  <si>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</si>
  <si>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</si>
  <si>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</si>
  <si>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</si>
  <si>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</si>
  <si>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</si>
  <si>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</si>
  <si>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</si>
  <si>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</si>
  <si>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</si>
  <si>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</si>
  <si>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</si>
  <si>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</si>
  <si>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</si>
  <si>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</si>
  <si>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</si>
  <si>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</si>
  <si>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</si>
  <si>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</si>
  <si>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</si>
  <si>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</si>
  <si>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</si>
  <si>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</si>
  <si>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</si>
  <si>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</si>
  <si>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</si>
  <si>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</si>
  <si>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</si>
  <si>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</si>
  <si>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</si>
  <si>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</si>
  <si>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</si>
  <si>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</si>
  <si>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</si>
  <si>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</si>
  <si>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</si>
  <si>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</si>
  <si>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</si>
  <si>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</si>
  <si>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</si>
  <si>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</si>
  <si>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</si>
  <si>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</si>
  <si>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</si>
  <si>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</si>
  <si>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</si>
  <si>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</si>
  <si>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</si>
  <si>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</si>
  <si>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</si>
  <si>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</si>
  <si>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</si>
  <si>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</si>
  <si>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</si>
  <si>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</si>
  <si>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</si>
  <si>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</si>
  <si>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</si>
  <si>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</si>
  <si>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</si>
  <si>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</si>
  <si>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</si>
  <si>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</si>
  <si>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</si>
  <si>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</si>
  <si>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</si>
  <si>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</si>
  <si>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</si>
  <si>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</si>
  <si>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</si>
  <si>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</si>
  <si>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</si>
  <si>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</si>
  <si>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</si>
  <si>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</si>
  <si>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</si>
  <si>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</si>
  <si>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</si>
  <si>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</si>
  <si>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</si>
  <si>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</si>
  <si>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</si>
  <si>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</si>
  <si>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</si>
  <si>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</si>
  <si>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</si>
  <si>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</si>
  <si>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</si>
  <si>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</si>
  <si>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</si>
  <si>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</si>
  <si>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</si>
  <si>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</si>
  <si>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</si>
  <si>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</si>
  <si>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</si>
  <si>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</si>
  <si>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</si>
  <si>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</si>
  <si>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</si>
  <si>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</si>
  <si>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</si>
  <si>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</si>
  <si>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</si>
  <si>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</si>
  <si>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</si>
  <si>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</si>
  <si>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</si>
  <si>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</si>
  <si>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</si>
  <si>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</si>
  <si>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</si>
  <si>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</si>
  <si>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</si>
  <si>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</si>
  <si>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</si>
  <si>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</si>
  <si>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</si>
  <si>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</si>
  <si>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</si>
  <si>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</si>
  <si>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</si>
  <si>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</si>
  <si>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</si>
  <si>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</si>
  <si>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</si>
  <si>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</si>
  <si>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</si>
  <si>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</si>
  <si>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</si>
  <si>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</si>
  <si>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</si>
  <si>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</si>
  <si>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</si>
  <si>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</si>
  <si>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</si>
  <si>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</si>
  <si>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</si>
  <si>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</si>
  <si>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</si>
  <si>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</si>
  <si>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</si>
  <si>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</si>
  <si>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</si>
  <si>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</si>
  <si>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</si>
  <si>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</si>
  <si>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</si>
  <si>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</si>
  <si>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</si>
  <si>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</si>
  <si>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</si>
  <si>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</si>
  <si>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</si>
  <si>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</si>
  <si>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</si>
  <si>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</si>
  <si>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</si>
  <si>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</si>
  <si>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</si>
  <si>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</si>
  <si>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</si>
  <si>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</si>
  <si>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</si>
  <si>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</si>
  <si>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</si>
  <si>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</si>
  <si>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</si>
  <si>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</si>
  <si>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</si>
  <si>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</si>
  <si>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</si>
  <si>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</si>
  <si>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</si>
  <si>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</si>
  <si>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</si>
  <si>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</si>
  <si>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</si>
  <si>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</si>
  <si>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</si>
  <si>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</si>
  <si>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</si>
  <si>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</si>
  <si>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</si>
  <si>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</si>
  <si>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</si>
  <si>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</si>
  <si>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</si>
  <si>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</si>
  <si>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</si>
  <si>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</si>
  <si>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</si>
  <si>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</si>
  <si>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</si>
  <si>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</si>
  <si>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</si>
  <si>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</si>
  <si>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</si>
  <si>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</si>
  <si>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</si>
  <si>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</si>
  <si>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</si>
  <si>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</si>
  <si>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</si>
  <si>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</si>
  <si>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</si>
  <si>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</si>
  <si>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</si>
  <si>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</si>
  <si>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</si>
  <si>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</si>
  <si>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</si>
  <si>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</si>
  <si>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</si>
  <si>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</si>
  <si>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</si>
  <si>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</si>
  <si>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</si>
  <si>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</si>
  <si>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</si>
  <si>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</si>
  <si>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</si>
  <si>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</si>
  <si>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</si>
  <si>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</si>
  <si>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</si>
  <si>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</si>
  <si>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</si>
  <si>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</si>
  <si>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</si>
  <si>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</si>
  <si>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</si>
  <si>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</si>
  <si>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</si>
  <si>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</si>
  <si>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</si>
  <si>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</si>
  <si>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</si>
  <si>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</si>
  <si>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</si>
  <si>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</si>
  <si>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</si>
  <si>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</si>
  <si>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</si>
  <si>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</si>
  <si>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</si>
  <si>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</si>
  <si>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</si>
  <si>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</si>
  <si>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</si>
  <si>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</si>
  <si>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</si>
  <si>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</si>
  <si>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</si>
  <si>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</si>
  <si>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</si>
  <si>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</si>
  <si>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</si>
  <si>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</si>
  <si>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</si>
  <si>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</si>
  <si>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</si>
  <si>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</si>
  <si>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</si>
  <si>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</si>
  <si>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</si>
  <si>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</si>
  <si>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</si>
  <si>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</si>
  <si>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</si>
  <si>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</si>
  <si>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</si>
  <si>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</si>
  <si>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</si>
  <si>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</si>
  <si>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</si>
  <si>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</si>
  <si>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</si>
  <si>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</si>
  <si>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</si>
  <si>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</si>
  <si>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</si>
  <si>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</si>
  <si>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</si>
  <si>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</si>
  <si>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</si>
  <si>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</si>
  <si>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</si>
  <si>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</si>
  <si>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</si>
  <si>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</si>
  <si>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</si>
  <si>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</si>
  <si>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</si>
  <si>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</si>
  <si>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</si>
  <si>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</si>
  <si>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</si>
  <si>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</si>
  <si>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</si>
  <si>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</si>
  <si>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</si>
  <si>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</si>
  <si>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</si>
  <si>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</si>
  <si>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</si>
  <si>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</si>
  <si>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</si>
  <si>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</si>
  <si>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</si>
  <si>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</si>
  <si>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</si>
  <si>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</si>
  <si>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</si>
  <si>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</si>
  <si>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</si>
  <si>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</si>
  <si>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</si>
  <si>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</si>
  <si>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</si>
  <si>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</si>
  <si>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</si>
  <si>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</si>
  <si>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</si>
  <si>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</si>
  <si>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</si>
  <si>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</si>
  <si>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</si>
  <si>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</si>
  <si>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</si>
  <si>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</si>
  <si>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</si>
  <si>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</si>
  <si>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</si>
  <si>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</si>
  <si>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</si>
  <si>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</si>
  <si>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</si>
  <si>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</si>
  <si>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</si>
  <si>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</si>
  <si>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</si>
  <si>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</si>
  <si>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</si>
  <si>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</si>
  <si>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</si>
  <si>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</si>
  <si>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</si>
  <si>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</si>
  <si>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</si>
  <si>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</si>
  <si>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</si>
  <si>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</si>
  <si>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</si>
  <si>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</si>
  <si>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</si>
  <si>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</si>
  <si>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</si>
  <si>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</si>
  <si>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</si>
  <si>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</si>
  <si>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</si>
  <si>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</si>
  <si>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</si>
  <si>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</si>
  <si>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</si>
  <si>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</si>
  <si>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</si>
  <si>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</si>
  <si>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</si>
  <si>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</si>
  <si>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</si>
  <si>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</si>
  <si>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</si>
  <si>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</si>
  <si>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</si>
  <si>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</si>
  <si>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</si>
  <si>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</si>
  <si>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</si>
  <si>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</si>
  <si>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</si>
  <si>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</si>
  <si>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</si>
  <si>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</si>
  <si>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</si>
  <si>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</si>
  <si>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</si>
  <si>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</si>
  <si>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</si>
  <si>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</si>
  <si>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</si>
  <si>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</si>
  <si>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</si>
  <si>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</si>
  <si>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</si>
  <si>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</si>
  <si>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</si>
  <si>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</si>
  <si>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</si>
  <si>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</si>
  <si>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</si>
  <si>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</si>
  <si>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</si>
  <si>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</si>
  <si>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</si>
  <si>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</si>
  <si>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</si>
  <si>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</si>
  <si>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</si>
  <si>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</si>
  <si>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</si>
  <si>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</si>
  <si>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</si>
  <si>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</si>
  <si>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</si>
  <si>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</si>
  <si>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</si>
  <si>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</si>
  <si>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</si>
  <si>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</si>
  <si>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</si>
  <si>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</si>
  <si>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</si>
  <si>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</si>
  <si>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</si>
  <si>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</si>
  <si>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</si>
  <si>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</si>
  <si>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</si>
  <si>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</si>
  <si>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</si>
  <si>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</si>
  <si>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</si>
  <si>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</si>
  <si>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</si>
  <si>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</si>
  <si>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</si>
  <si>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</si>
  <si>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</si>
  <si>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</si>
  <si>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</si>
  <si>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</si>
  <si>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</si>
  <si>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</si>
  <si>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</si>
  <si>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</si>
  <si>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</si>
  <si>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</si>
  <si>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</si>
  <si>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</si>
  <si>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</si>
  <si>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</si>
  <si>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</si>
  <si>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</si>
  <si>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</si>
  <si>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</si>
  <si>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</si>
  <si>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</si>
  <si>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</si>
  <si>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</si>
  <si>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</si>
  <si>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</si>
  <si>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</si>
  <si>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</si>
  <si>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</si>
  <si>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</si>
  <si>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</si>
  <si>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</si>
  <si>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</si>
  <si>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</si>
  <si>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</si>
  <si>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</si>
  <si>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</si>
  <si>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</si>
  <si>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</si>
  <si>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</si>
  <si>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</si>
  <si>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</si>
  <si>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</si>
  <si>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</si>
  <si>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</si>
  <si>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</si>
  <si>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</si>
  <si>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</si>
  <si>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</si>
  <si>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</si>
  <si>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</si>
  <si>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</si>
  <si>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</si>
  <si>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</si>
  <si>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</si>
  <si>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</si>
  <si>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</si>
  <si>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</si>
  <si>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</si>
  <si>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</si>
  <si>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</si>
  <si>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</si>
  <si>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</si>
  <si>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</si>
  <si>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</si>
  <si>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</si>
  <si>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</si>
  <si>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</si>
  <si>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</si>
  <si>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</si>
  <si>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</si>
  <si>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</si>
  <si>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</si>
  <si>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</si>
  <si>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</si>
  <si>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</si>
  <si>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</si>
  <si>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</si>
  <si>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</si>
  <si>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</si>
  <si>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</si>
  <si>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</si>
  <si>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</si>
  <si>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</si>
  <si>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</si>
  <si>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</si>
  <si>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</si>
  <si>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</si>
  <si>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</si>
  <si>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</si>
  <si>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</si>
  <si>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</si>
  <si>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</si>
  <si>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</si>
  <si>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</si>
  <si>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</si>
  <si>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</si>
  <si>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</si>
  <si>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</si>
  <si>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</si>
  <si>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</si>
  <si>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</si>
  <si>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</si>
  <si>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</si>
  <si>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</si>
  <si>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</si>
  <si>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</si>
  <si>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</si>
  <si>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</si>
  <si>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</si>
  <si>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</si>
  <si>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</si>
  <si>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</si>
  <si>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</si>
  <si>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</si>
  <si>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</si>
  <si>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</si>
  <si>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</si>
  <si>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</si>
  <si>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</si>
  <si>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</si>
  <si>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</si>
  <si>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</si>
  <si>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</si>
  <si>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</si>
  <si>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</si>
  <si>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</si>
  <si>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</si>
  <si>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</si>
  <si>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</si>
  <si>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</si>
  <si>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</si>
  <si>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</si>
  <si>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</si>
  <si>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</si>
  <si>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</si>
  <si>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</si>
  <si>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</si>
  <si>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</si>
  <si>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</si>
  <si>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</si>
  <si>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</si>
  <si>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</si>
  <si>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</si>
  <si>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</si>
  <si>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</si>
  <si>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</si>
  <si>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</si>
  <si>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</si>
  <si>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</si>
  <si>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</si>
  <si>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</si>
  <si>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</si>
  <si>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</si>
  <si>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</si>
  <si>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</si>
  <si>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</si>
  <si>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</si>
  <si>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</si>
  <si>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</si>
  <si>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</si>
  <si>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</si>
  <si>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</si>
  <si>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</si>
  <si>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</si>
  <si>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</si>
  <si>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</si>
  <si>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</si>
  <si>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</si>
  <si>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</si>
  <si>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</si>
  <si>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</si>
  <si>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</si>
  <si>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</si>
  <si>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</si>
  <si>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</si>
  <si>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</si>
  <si>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</si>
  <si>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</si>
  <si>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</si>
  <si>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</si>
  <si>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</si>
  <si>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</si>
  <si>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</si>
  <si>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</si>
  <si>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</si>
  <si>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</si>
  <si>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</si>
  <si>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</si>
  <si>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</si>
  <si>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</si>
  <si>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</si>
  <si>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</si>
  <si>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</si>
  <si>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</si>
  <si>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</si>
  <si>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</si>
  <si>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</si>
  <si>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</si>
  <si>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</si>
  <si>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</si>
  <si>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</si>
  <si>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</si>
  <si>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</si>
  <si>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</si>
  <si>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</si>
  <si>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</si>
  <si>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</si>
  <si>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</si>
  <si>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</si>
  <si>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</si>
  <si>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</si>
  <si>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</si>
  <si>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</si>
  <si>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</si>
  <si>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</si>
  <si>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</si>
  <si>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</si>
  <si>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</si>
  <si>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</si>
  <si>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</si>
  <si>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</si>
  <si>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</si>
  <si>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</si>
  <si>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</si>
  <si>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</si>
  <si>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</si>
  <si>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</si>
  <si>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</si>
  <si>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</si>
  <si>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</si>
  <si>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</si>
  <si>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</si>
  <si>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</si>
  <si>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</si>
  <si>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</si>
  <si>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</si>
  <si>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</si>
  <si>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</si>
  <si>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</si>
  <si>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</si>
  <si>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</si>
  <si>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</si>
  <si>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</si>
  <si>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</si>
  <si>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</si>
  <si>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</si>
  <si>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</si>
  <si>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</si>
  <si>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</si>
  <si>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</si>
  <si>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</si>
  <si>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</si>
  <si>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</si>
  <si>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</si>
  <si>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</si>
  <si>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</si>
  <si>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</si>
  <si>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</si>
  <si>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</si>
  <si>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</si>
  <si>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</si>
  <si>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</si>
  <si>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</si>
  <si>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</si>
  <si>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</si>
  <si>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</si>
  <si>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</si>
  <si>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</si>
  <si>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</si>
  <si>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</si>
  <si>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</si>
  <si>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</si>
  <si>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</si>
  <si>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</si>
  <si>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</si>
  <si>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</si>
  <si>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</si>
  <si>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</si>
  <si>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</si>
  <si>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</si>
  <si>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</si>
  <si>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</si>
  <si>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</si>
  <si>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</si>
  <si>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</si>
  <si>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</si>
  <si>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</si>
  <si>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</si>
  <si>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</si>
  <si>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</si>
  <si>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</si>
  <si>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</si>
  <si>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</si>
  <si>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</si>
  <si>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</si>
  <si>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</si>
  <si>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</si>
  <si>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</si>
  <si>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</si>
  <si>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</si>
  <si>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</si>
  <si>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</si>
  <si>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</si>
  <si>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</si>
  <si>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</si>
  <si>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</si>
  <si>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</si>
  <si>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</si>
  <si>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</si>
  <si>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</si>
  <si>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</si>
  <si>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</si>
  <si>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</si>
  <si>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</si>
  <si>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</si>
  <si>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</si>
  <si>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</si>
  <si>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</si>
  <si>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</si>
  <si>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</si>
  <si>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</si>
  <si>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</si>
  <si>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</si>
  <si>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</si>
  <si>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</si>
  <si>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</si>
  <si>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</si>
  <si>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</si>
  <si>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</si>
  <si>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</si>
  <si>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</si>
  <si>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</si>
  <si>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</si>
  <si>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</si>
  <si>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</si>
  <si>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</si>
  <si>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</si>
  <si>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</si>
  <si>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</si>
  <si>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</si>
  <si>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</si>
  <si>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</si>
  <si>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</si>
  <si>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</si>
  <si>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</si>
  <si>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</si>
  <si>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</si>
  <si>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</si>
  <si>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</si>
  <si>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</si>
  <si>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</si>
  <si>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</si>
  <si>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</si>
  <si>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</si>
  <si>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</si>
  <si>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</si>
  <si>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</si>
  <si>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</si>
  <si>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</si>
  <si>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</si>
  <si>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</si>
  <si>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</si>
  <si>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</si>
  <si>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</si>
  <si>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</si>
  <si>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</si>
  <si>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</si>
  <si>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</si>
  <si>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</si>
  <si>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</si>
  <si>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</si>
  <si>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</si>
  <si>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</si>
  <si>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</si>
  <si>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</si>
  <si>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</si>
  <si>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</si>
  <si>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</si>
  <si>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</si>
  <si>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</si>
  <si>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</si>
  <si>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</si>
  <si>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</si>
  <si>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</si>
  <si>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</si>
  <si>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</si>
  <si>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</si>
  <si>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</si>
  <si>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</si>
  <si>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</si>
  <si>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</si>
  <si>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</si>
  <si>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</si>
  <si>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</si>
  <si>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</si>
  <si>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</si>
  <si>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</si>
  <si>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</si>
  <si>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</si>
  <si>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</si>
  <si>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</si>
  <si>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</si>
  <si>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</si>
  <si>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</si>
  <si>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</si>
  <si>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</si>
  <si>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</si>
  <si>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</si>
  <si>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</si>
  <si>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</si>
  <si>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</si>
  <si>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</si>
  <si>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</si>
  <si>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</si>
  <si>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</si>
  <si>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</si>
  <si>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</si>
  <si>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</si>
  <si>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</si>
  <si>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</si>
  <si>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</si>
  <si>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</si>
  <si>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</si>
  <si>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</si>
  <si>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</si>
  <si>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</si>
  <si>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</si>
  <si>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</si>
  <si>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</si>
  <si>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</si>
  <si>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</si>
  <si>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</si>
  <si>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</si>
  <si>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</si>
  <si>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</si>
  <si>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</si>
  <si>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</si>
  <si>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</si>
  <si>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</si>
  <si>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</si>
  <si>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</si>
  <si>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</si>
  <si>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</si>
  <si>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</si>
  <si>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</si>
  <si>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</si>
  <si>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</si>
  <si>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</si>
  <si>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</si>
  <si>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</si>
  <si>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</si>
  <si>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</si>
  <si>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</si>
  <si>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</si>
  <si>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</si>
  <si>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</si>
  <si>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</si>
  <si>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</si>
  <si>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</si>
  <si>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</si>
  <si>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</si>
  <si>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</si>
  <si>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</si>
  <si>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</si>
  <si>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</si>
  <si>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</si>
  <si>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</si>
  <si>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</si>
  <si>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</si>
  <si>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</si>
  <si>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</si>
  <si>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</si>
  <si>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</si>
  <si>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</si>
  <si>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</si>
  <si>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</si>
  <si>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</si>
  <si>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</si>
  <si>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</si>
  <si>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</si>
  <si>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</si>
  <si>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</si>
  <si>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</si>
  <si>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</si>
  <si>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</si>
  <si>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</si>
  <si>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</si>
  <si>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</si>
  <si>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</si>
  <si>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</si>
  <si>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</si>
  <si>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</si>
  <si>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</si>
  <si>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</si>
  <si>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</si>
  <si>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</si>
  <si>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</si>
  <si>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</si>
  <si>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</si>
  <si>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</si>
  <si>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</si>
  <si>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</si>
  <si>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</si>
  <si>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</si>
  <si>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</si>
  <si>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</si>
  <si>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</si>
  <si>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</si>
  <si>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</si>
  <si>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</si>
  <si>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</si>
  <si>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</si>
  <si>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</si>
  <si>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</si>
  <si>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</si>
  <si>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</si>
  <si>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</si>
  <si>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</si>
  <si>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</si>
  <si>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</si>
  <si>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</si>
  <si>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</si>
  <si>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</si>
  <si>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</si>
  <si>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</si>
  <si>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</si>
  <si>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</si>
  <si>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</si>
  <si>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</si>
  <si>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</si>
  <si>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</si>
  <si>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</si>
  <si>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</si>
  <si>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</si>
  <si>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</si>
  <si>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</si>
  <si>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</si>
  <si>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</si>
  <si>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</si>
  <si>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</si>
  <si>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</si>
  <si>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</si>
  <si>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</si>
  <si>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</si>
  <si>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</si>
  <si>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</si>
  <si>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</si>
  <si>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</si>
  <si>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</si>
  <si>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</si>
  <si>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</si>
  <si>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</si>
  <si>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</si>
  <si>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</si>
  <si>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</si>
  <si>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</si>
  <si>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</si>
  <si>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</si>
  <si>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</si>
  <si>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</si>
  <si>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</si>
  <si>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</si>
  <si>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</si>
  <si>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</si>
  <si>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</si>
  <si>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</si>
  <si>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</si>
  <si>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</si>
  <si>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</si>
  <si>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</si>
  <si>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</si>
  <si>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</si>
  <si>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</si>
  <si>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</si>
  <si>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</si>
  <si>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</si>
  <si>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</si>
  <si>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</si>
  <si>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</si>
  <si>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</si>
  <si>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</si>
  <si>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</si>
  <si>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</si>
  <si>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</si>
  <si>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</si>
  <si>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</si>
  <si>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</si>
  <si>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</si>
  <si>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</si>
  <si>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</si>
  <si>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</si>
  <si>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</si>
  <si>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</si>
  <si>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</si>
  <si>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</si>
  <si>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</si>
  <si>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</si>
  <si>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</si>
  <si>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</si>
  <si>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</si>
  <si>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</si>
  <si>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</si>
  <si>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</si>
  <si>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</si>
  <si>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</si>
  <si>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</si>
  <si>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</si>
  <si>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</si>
  <si>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</si>
  <si>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</si>
  <si>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</si>
  <si>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</si>
  <si>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</si>
  <si>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</si>
  <si>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</si>
  <si>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</si>
  <si>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</si>
  <si>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</si>
  <si>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</si>
  <si>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</si>
  <si>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</si>
  <si>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</si>
  <si>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</si>
  <si>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</si>
  <si>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</si>
  <si>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</si>
  <si>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</si>
  <si>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</si>
  <si>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</si>
  <si>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</si>
  <si>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</si>
  <si>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</si>
  <si>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</si>
  <si>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</si>
  <si>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</si>
  <si>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</si>
  <si>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</si>
  <si>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</si>
  <si>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</si>
  <si>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</si>
  <si>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</si>
  <si>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</si>
  <si>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</si>
  <si>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</si>
  <si>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</si>
  <si>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</si>
  <si>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</si>
  <si>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</si>
  <si>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</si>
  <si>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</si>
  <si>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</si>
  <si>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</si>
  <si>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</si>
  <si>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</si>
  <si>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</si>
  <si>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</si>
  <si>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</si>
  <si>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</si>
  <si>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</si>
  <si>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</si>
  <si>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</si>
  <si>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</si>
  <si>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</si>
  <si>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</si>
  <si>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</si>
  <si>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</si>
  <si>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</si>
  <si>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</si>
  <si>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</si>
  <si>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</si>
  <si>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</si>
  <si>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</si>
  <si>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</si>
  <si>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</si>
  <si>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</si>
  <si>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</si>
  <si>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</si>
  <si>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</si>
  <si>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</si>
  <si>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</si>
  <si>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</si>
  <si>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</si>
  <si>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</si>
  <si>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</si>
  <si>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</si>
  <si>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</si>
  <si>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</si>
  <si>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</si>
  <si>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</si>
  <si>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</si>
  <si>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</si>
  <si>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</si>
  <si>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</si>
  <si>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</si>
  <si>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</si>
  <si>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</si>
  <si>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</si>
  <si>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</si>
  <si>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</si>
  <si>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</si>
  <si>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</si>
  <si>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</si>
  <si>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</si>
  <si>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</si>
  <si>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</si>
  <si>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</si>
  <si>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</si>
  <si>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</si>
  <si>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</si>
  <si>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</si>
  <si>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</si>
  <si>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</si>
  <si>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</si>
  <si>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</si>
  <si>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</si>
  <si>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</si>
  <si>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</si>
  <si>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</si>
  <si>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</si>
  <si>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</si>
  <si>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</si>
  <si>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</si>
  <si>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</si>
  <si>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</si>
  <si>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</si>
  <si>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</si>
  <si>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</si>
  <si>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</si>
  <si>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</si>
  <si>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</si>
  <si>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</si>
  <si>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</si>
  <si>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</si>
  <si>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</si>
  <si>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</si>
  <si>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</si>
  <si>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</si>
  <si>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</si>
  <si>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</si>
  <si>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</si>
  <si>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</si>
  <si>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</si>
  <si>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</si>
  <si>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</si>
  <si>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</si>
  <si>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</si>
  <si>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</si>
  <si>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</si>
  <si>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</si>
  <si>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</si>
  <si>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</si>
  <si>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</si>
  <si>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</si>
  <si>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</si>
  <si>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</si>
  <si>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</si>
  <si>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</si>
  <si>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</si>
  <si>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</si>
  <si>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</si>
  <si>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</si>
  <si>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</si>
  <si>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</si>
  <si>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</si>
  <si>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</si>
  <si>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</si>
  <si>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</si>
  <si>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</si>
  <si>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</si>
  <si>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</si>
  <si>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</si>
  <si>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</si>
  <si>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</si>
  <si>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</si>
  <si>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</si>
  <si>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</si>
  <si>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</si>
  <si>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</si>
  <si>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</si>
  <si>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</si>
  <si>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</si>
  <si>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</si>
  <si>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</si>
  <si>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</si>
  <si>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</si>
  <si>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</si>
  <si>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</si>
  <si>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</si>
  <si>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</si>
  <si>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</si>
  <si>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</si>
  <si>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</si>
  <si>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</si>
  <si>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</si>
  <si>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</si>
  <si>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</si>
  <si>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</si>
  <si>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</si>
  <si>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</si>
  <si>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</si>
  <si>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</si>
  <si>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</si>
  <si>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</si>
  <si>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</si>
  <si>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</si>
  <si>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</si>
  <si>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</si>
  <si>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</si>
  <si>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</si>
  <si>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</si>
  <si>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</si>
  <si>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</si>
  <si>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</si>
  <si>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</si>
  <si>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</si>
  <si>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</si>
  <si>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</si>
  <si>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</si>
  <si>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</si>
  <si>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</si>
  <si>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</si>
  <si>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</si>
  <si>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</si>
  <si>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</si>
  <si>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</si>
  <si>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</si>
  <si>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</si>
  <si>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</si>
  <si>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</si>
  <si>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</si>
  <si>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</si>
  <si>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</si>
  <si>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</si>
  <si>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</si>
  <si>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</si>
  <si>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</si>
  <si>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</si>
  <si>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</si>
  <si>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</si>
  <si>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</si>
  <si>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</si>
  <si>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</si>
  <si>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</si>
  <si>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</si>
  <si>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</si>
  <si>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</si>
  <si>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</si>
  <si>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</si>
  <si>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</si>
  <si>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</si>
  <si>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</si>
  <si>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</si>
  <si>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</si>
  <si>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</si>
  <si>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</si>
  <si>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</si>
  <si>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</si>
  <si>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</si>
  <si>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</si>
  <si>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</si>
  <si>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</si>
  <si>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</si>
  <si>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</si>
  <si>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</si>
  <si>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</si>
  <si>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</si>
  <si>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</si>
  <si>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</si>
  <si>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</si>
  <si>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</si>
  <si>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</si>
  <si>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</si>
  <si>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</si>
  <si>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</si>
  <si>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</si>
  <si>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</si>
  <si>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</si>
  <si>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</si>
  <si>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</si>
  <si>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</si>
  <si>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</si>
  <si>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</si>
  <si>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</si>
  <si>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</si>
  <si>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</si>
  <si>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</si>
  <si>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</si>
  <si>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</si>
  <si>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</si>
  <si>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</si>
  <si>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</si>
  <si>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</si>
  <si>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</si>
  <si>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</si>
  <si>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</si>
  <si>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</si>
  <si>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</si>
  <si>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</si>
  <si>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</si>
  <si>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</si>
  <si>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</si>
  <si>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</si>
  <si>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</si>
  <si>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</si>
  <si>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</si>
  <si>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</si>
  <si>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</si>
  <si>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</si>
  <si>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</si>
  <si>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</si>
  <si>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</si>
  <si>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</si>
  <si>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</si>
  <si>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</si>
  <si>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</si>
  <si>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</si>
  <si>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</si>
  <si>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</si>
  <si>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</si>
  <si>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</si>
  <si>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</si>
  <si>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</si>
  <si>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</si>
  <si>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</si>
  <si>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</si>
  <si>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</si>
  <si>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</si>
  <si>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</si>
  <si>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</si>
  <si>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</si>
  <si>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</si>
  <si>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</si>
  <si>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</si>
  <si>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</si>
  <si>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</si>
  <si>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</si>
  <si>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</si>
  <si>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</si>
  <si>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</si>
  <si>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</si>
  <si>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</si>
  <si>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</si>
  <si>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</si>
  <si>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</si>
  <si>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</si>
  <si>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</si>
  <si>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</si>
  <si>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</si>
  <si>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</si>
  <si>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</si>
  <si>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</si>
  <si>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</si>
  <si>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</si>
  <si>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</si>
  <si>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</si>
  <si>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</si>
  <si>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</si>
  <si>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</si>
  <si>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</si>
  <si>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</si>
  <si>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</si>
  <si>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</si>
  <si>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</si>
  <si>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</si>
  <si>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</si>
  <si>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</si>
  <si>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</si>
  <si>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</si>
  <si>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</si>
  <si>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</si>
  <si>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</si>
  <si>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</si>
  <si>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</si>
  <si>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</si>
  <si>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</si>
  <si>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</si>
  <si>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</si>
  <si>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</si>
  <si>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</si>
  <si>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</si>
  <si>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</si>
  <si>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</si>
  <si>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</si>
  <si>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</si>
  <si>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</si>
  <si>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</si>
  <si>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</si>
  <si>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</si>
  <si>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</si>
  <si>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</si>
  <si>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</si>
  <si>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</si>
  <si>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</si>
  <si>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</si>
  <si>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</si>
  <si>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</si>
  <si>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</si>
  <si>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</si>
  <si>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</si>
  <si>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</si>
  <si>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</si>
  <si>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</si>
  <si>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</si>
  <si>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</si>
  <si>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</si>
  <si>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</si>
  <si>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</si>
  <si>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</si>
  <si>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</si>
  <si>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</si>
  <si>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</si>
  <si>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</si>
  <si>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</si>
  <si>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</si>
  <si>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</si>
  <si>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</si>
  <si>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</si>
  <si>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</si>
  <si>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</si>
  <si>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</si>
  <si>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</si>
  <si>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</si>
  <si>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</si>
  <si>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</si>
  <si>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</si>
  <si>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</si>
  <si>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</si>
  <si>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</si>
  <si>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</si>
  <si>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</si>
  <si>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</si>
  <si>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</si>
  <si>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</si>
  <si>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</si>
  <si>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</si>
  <si>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</si>
  <si>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</si>
  <si>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</si>
  <si>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</si>
  <si>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</si>
  <si>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</si>
  <si>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</si>
  <si>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</si>
  <si>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</si>
  <si>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</si>
  <si>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</si>
  <si>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</si>
  <si>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</si>
  <si>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</si>
  <si>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</si>
  <si>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</si>
  <si>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</si>
  <si>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</si>
  <si>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</si>
  <si>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</si>
  <si>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</si>
  <si>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</si>
  <si>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</si>
  <si>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</si>
  <si>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</si>
  <si>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</si>
  <si>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</si>
  <si>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</si>
  <si>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</si>
  <si>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</si>
  <si>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</si>
  <si>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</si>
  <si>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</si>
  <si>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</si>
  <si>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</si>
  <si>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</si>
  <si>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</si>
  <si>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</si>
  <si>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</si>
  <si>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</si>
  <si>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</si>
  <si>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</si>
  <si>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</si>
  <si>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</si>
  <si>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</si>
  <si>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</si>
  <si>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</si>
  <si>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</si>
  <si>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</si>
  <si>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</si>
  <si>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</si>
  <si>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</si>
  <si>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</si>
  <si>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</si>
  <si>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</si>
  <si>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</si>
  <si>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</si>
  <si>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</si>
  <si>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</si>
  <si>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</si>
  <si>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</si>
  <si>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</si>
  <si>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</si>
  <si>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</si>
  <si>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</si>
  <si>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</si>
  <si>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</si>
  <si>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</si>
  <si>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</si>
  <si>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</si>
  <si>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</si>
  <si>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</si>
  <si>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</si>
  <si>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</si>
  <si>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</si>
  <si>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</si>
  <si>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</si>
  <si>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</si>
  <si>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</si>
  <si>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</si>
  <si>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</si>
  <si>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</si>
  <si>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</si>
  <si>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</si>
  <si>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</si>
  <si>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</si>
  <si>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</si>
  <si>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</si>
  <si>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</si>
  <si>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</si>
  <si>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</si>
  <si>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</si>
  <si>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</si>
  <si>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</si>
  <si>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</si>
  <si>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</si>
  <si>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</si>
  <si>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</si>
  <si>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</si>
  <si>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</si>
  <si>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</si>
  <si>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</si>
  <si>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</si>
  <si>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</si>
  <si>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</si>
  <si>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</si>
  <si>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</si>
  <si>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</si>
  <si>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</si>
  <si>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</si>
  <si>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</si>
  <si>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</si>
  <si>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</si>
  <si>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</si>
  <si>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</si>
  <si>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</si>
  <si>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</si>
  <si>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</si>
  <si>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</si>
  <si>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</si>
  <si>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</si>
  <si>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</si>
  <si>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</si>
  <si>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</si>
  <si>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</si>
  <si>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</si>
  <si>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</si>
  <si>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</si>
  <si>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</si>
  <si>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</si>
  <si>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</si>
  <si>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</si>
  <si>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</si>
  <si>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</si>
  <si>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</si>
  <si>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</si>
  <si>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</si>
  <si>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</si>
  <si>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</si>
  <si>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</si>
  <si>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</si>
  <si>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</si>
  <si>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</si>
  <si>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</si>
  <si>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</si>
  <si>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</si>
  <si>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</si>
  <si>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</si>
  <si>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</si>
  <si>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</si>
  <si>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</si>
  <si>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</si>
  <si>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</si>
  <si>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</si>
  <si>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</si>
  <si>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</si>
  <si>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</si>
  <si>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</si>
  <si>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</si>
  <si>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</si>
  <si>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</si>
  <si>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</si>
  <si>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</si>
  <si>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</si>
  <si>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</si>
  <si>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</si>
  <si>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</si>
  <si>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</si>
  <si>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</si>
  <si>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</si>
  <si>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</si>
  <si>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</si>
  <si>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</si>
  <si>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</si>
  <si>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</si>
  <si>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</si>
  <si>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</si>
  <si>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</si>
  <si>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</si>
  <si>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</si>
  <si>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</si>
  <si>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</si>
  <si>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</si>
  <si>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</si>
  <si>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</si>
  <si>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</si>
  <si>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</si>
  <si>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</si>
  <si>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</si>
  <si>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</si>
  <si>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</si>
  <si>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</si>
  <si>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</si>
  <si>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</si>
  <si>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</si>
  <si>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</si>
  <si>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</si>
  <si>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</si>
  <si>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</si>
  <si>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</si>
  <si>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</si>
  <si>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</si>
  <si>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</si>
  <si>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</si>
  <si>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</si>
  <si>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</si>
  <si>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</si>
  <si>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</si>
  <si>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</si>
  <si>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</si>
  <si>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</si>
  <si>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</si>
  <si>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</si>
  <si>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</si>
  <si>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</si>
  <si>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</si>
  <si>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</si>
  <si>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</si>
  <si>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</si>
  <si>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</si>
  <si>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</si>
  <si>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</si>
  <si>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</si>
  <si>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</si>
  <si>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</si>
  <si>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</si>
  <si>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</si>
  <si>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</si>
  <si>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</si>
  <si>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</si>
  <si>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</si>
  <si>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</si>
  <si>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</si>
  <si>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</si>
  <si>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</si>
  <si>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</si>
  <si>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</si>
  <si>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</si>
  <si>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</si>
  <si>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</si>
  <si>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</si>
  <si>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</si>
  <si>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</si>
  <si>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</si>
  <si>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</si>
  <si>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</si>
  <si>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</si>
  <si>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</si>
  <si>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</si>
  <si>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</si>
  <si>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</si>
  <si>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</si>
  <si>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</si>
  <si>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</si>
  <si>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</si>
  <si>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</si>
  <si>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</si>
  <si>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</si>
  <si>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</si>
  <si>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</si>
  <si>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</si>
  <si>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</si>
  <si>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</si>
  <si>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</si>
  <si>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</si>
  <si>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</si>
  <si>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</si>
  <si>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</si>
  <si>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</si>
  <si>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</si>
  <si>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</si>
  <si>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</si>
  <si>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</si>
  <si>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</si>
  <si>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</si>
  <si>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</si>
  <si>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</si>
  <si>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</si>
  <si>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</si>
  <si>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</si>
  <si>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</si>
  <si>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</si>
  <si>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</si>
  <si>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</si>
  <si>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</si>
  <si>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</si>
  <si>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</si>
  <si>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</si>
  <si>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</si>
  <si>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</si>
  <si>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</si>
  <si>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</si>
  <si>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</si>
  <si>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</si>
  <si>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</si>
  <si>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</si>
  <si>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</si>
  <si>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</si>
  <si>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</si>
  <si>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</si>
  <si>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</si>
  <si>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</si>
  <si>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</si>
  <si>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</si>
  <si>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</si>
  <si>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</si>
  <si>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</si>
  <si>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</si>
  <si>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</si>
  <si>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</si>
  <si>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</si>
  <si>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</si>
  <si>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</si>
  <si>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</si>
  <si>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</si>
  <si>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</si>
  <si>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</si>
  <si>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</si>
  <si>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</si>
  <si>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</si>
  <si>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</si>
  <si>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</si>
  <si>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</si>
  <si>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</si>
  <si>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</si>
  <si>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</si>
  <si>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</si>
  <si>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</si>
  <si>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</si>
  <si>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</si>
  <si>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</si>
  <si>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</si>
  <si>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</si>
  <si>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</si>
  <si>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</si>
  <si>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</si>
  <si>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</si>
  <si>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</si>
  <si>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</si>
  <si>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</si>
  <si>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</si>
  <si>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</si>
  <si>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</si>
  <si>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</si>
  <si>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</si>
  <si>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</si>
  <si>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</si>
  <si>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</si>
  <si>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</si>
  <si>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</si>
  <si>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</si>
  <si>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</si>
  <si>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</si>
  <si>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</si>
  <si>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</si>
  <si>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</si>
  <si>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</si>
  <si>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</si>
  <si>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</si>
  <si>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</si>
  <si>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</si>
  <si>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</si>
  <si>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</si>
  <si>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</si>
  <si>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</si>
  <si>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</si>
  <si>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</si>
  <si>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</si>
  <si>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</si>
  <si>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</si>
  <si>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</si>
  <si>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</si>
  <si>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</si>
  <si>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</si>
  <si>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</si>
  <si>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</si>
  <si>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</si>
  <si>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</si>
  <si>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</si>
  <si>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</si>
  <si>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</si>
  <si>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</si>
  <si>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</si>
  <si>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</si>
  <si>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</si>
  <si>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</si>
  <si>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</si>
  <si>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</si>
  <si>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</si>
  <si>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</si>
  <si>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</si>
  <si>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</si>
  <si>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</si>
  <si>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</si>
  <si>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</si>
  <si>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</si>
  <si>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</si>
  <si>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</si>
  <si>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</si>
  <si>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</si>
  <si>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</si>
  <si>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</si>
  <si>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</si>
  <si>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</si>
  <si>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</si>
  <si>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</si>
  <si>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</si>
  <si>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</si>
  <si>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</si>
  <si>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</si>
  <si>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</si>
  <si>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</si>
  <si>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</si>
  <si>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</si>
  <si>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</si>
  <si>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</si>
  <si>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</si>
  <si>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</si>
  <si>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</si>
  <si>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</si>
  <si>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</si>
  <si>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</si>
  <si>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</si>
  <si>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</si>
  <si>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</si>
  <si>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</si>
  <si>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</si>
  <si>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</si>
  <si>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</si>
  <si>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</si>
  <si>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</si>
  <si>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</si>
  <si>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</si>
  <si>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</si>
  <si>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</si>
  <si>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</si>
  <si>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</si>
  <si>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</si>
  <si>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</si>
  <si>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</si>
  <si>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</si>
  <si>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</si>
  <si>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</si>
  <si>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</si>
  <si>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</si>
  <si>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</si>
  <si>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</si>
  <si>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</si>
  <si>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</si>
  <si>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</si>
  <si>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</si>
  <si>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</si>
  <si>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</si>
  <si>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</si>
  <si>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</si>
  <si>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</si>
  <si>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</si>
  <si>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</si>
  <si>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</si>
  <si>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</si>
  <si>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</si>
  <si>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</si>
  <si>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</si>
  <si>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</si>
  <si>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</si>
  <si>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</si>
  <si>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</si>
  <si>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</si>
  <si>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</si>
  <si>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</si>
  <si>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</si>
  <si>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</si>
  <si>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</si>
  <si>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</si>
  <si>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</si>
  <si>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</si>
  <si>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</si>
  <si>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</si>
  <si>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</si>
  <si>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</si>
  <si>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</si>
  <si>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</si>
  <si>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</si>
  <si>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</si>
  <si>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</si>
  <si>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</si>
  <si>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</si>
  <si>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</si>
  <si>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</si>
  <si>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</si>
  <si>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</si>
  <si>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</si>
  <si>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</si>
  <si>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</si>
  <si>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</si>
  <si>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</si>
  <si>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</si>
  <si>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</si>
  <si>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</si>
  <si>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</si>
  <si>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</si>
  <si>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</si>
  <si>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</si>
  <si>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</si>
  <si>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</si>
  <si>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</si>
  <si>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</si>
  <si>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</si>
  <si>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</si>
  <si>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</si>
  <si>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</si>
  <si>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</si>
  <si>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</si>
  <si>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</si>
  <si>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</si>
  <si>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</si>
  <si>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</si>
  <si>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</si>
  <si>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</si>
  <si>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</si>
  <si>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</si>
  <si>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</si>
  <si>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</si>
  <si>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</si>
  <si>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</si>
  <si>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</si>
  <si>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</si>
  <si>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</si>
  <si>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</si>
  <si>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</si>
  <si>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</si>
  <si>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</si>
  <si>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</si>
  <si>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</si>
  <si>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</si>
  <si>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</si>
  <si>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</si>
  <si>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</si>
  <si>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</si>
  <si>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</si>
  <si>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</si>
  <si>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</si>
  <si>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</si>
  <si>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</si>
  <si>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</si>
  <si>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</si>
  <si>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</si>
  <si>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</si>
  <si>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</si>
  <si>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</si>
  <si>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</si>
  <si>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</si>
  <si>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</si>
  <si>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</si>
  <si>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</si>
  <si>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</si>
  <si>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</si>
  <si>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</si>
  <si>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</si>
  <si>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</si>
  <si>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</si>
  <si>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</si>
  <si>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</si>
  <si>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</si>
  <si>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</si>
  <si>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</si>
  <si>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</si>
  <si>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</si>
  <si>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</si>
  <si>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</si>
  <si>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</si>
  <si>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</si>
  <si>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</si>
  <si>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</si>
  <si>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</si>
  <si>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</si>
  <si>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</si>
  <si>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</si>
  <si>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</si>
  <si>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</si>
  <si>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</si>
  <si>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</si>
  <si>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</si>
  <si>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</si>
  <si>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</si>
  <si>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</si>
  <si>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</si>
  <si>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</si>
  <si>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</si>
  <si>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</si>
  <si>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</si>
  <si>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</si>
  <si>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</si>
  <si>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</si>
  <si>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</si>
  <si>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</si>
  <si>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</si>
  <si>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</si>
  <si>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</si>
  <si>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</si>
  <si>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</si>
  <si>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</si>
  <si>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</si>
  <si>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</si>
  <si>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</si>
  <si>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</si>
  <si>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</si>
  <si>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</si>
  <si>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</si>
  <si>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</si>
  <si>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</si>
  <si>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</si>
  <si>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</si>
  <si>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</si>
  <si>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</si>
  <si>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</si>
  <si>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</si>
  <si>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</si>
  <si>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</si>
  <si>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</si>
  <si>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</si>
  <si>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</si>
  <si>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</si>
  <si>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</si>
  <si>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</si>
  <si>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</si>
  <si>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</si>
  <si>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</si>
  <si>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</si>
  <si>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</si>
  <si>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</si>
  <si>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</si>
  <si>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</si>
  <si>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</si>
  <si>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</si>
  <si>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</si>
  <si>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</si>
  <si>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</si>
  <si>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</si>
  <si>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</si>
  <si>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</si>
  <si>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</si>
  <si>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</si>
  <si>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</si>
  <si>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</si>
  <si>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</si>
  <si>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</si>
  <si>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</si>
  <si>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</si>
  <si>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</si>
  <si>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</si>
  <si>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</si>
  <si>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</si>
  <si>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</si>
  <si>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</si>
  <si>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</si>
  <si>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</si>
  <si>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</si>
  <si>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</si>
  <si>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</si>
  <si>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</si>
  <si>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</si>
  <si>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</si>
  <si>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</si>
  <si>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</si>
  <si>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</si>
  <si>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</si>
  <si>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</si>
  <si>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</si>
  <si>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</si>
  <si>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</si>
  <si>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</si>
  <si>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</si>
  <si>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</si>
  <si>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</si>
  <si>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</si>
  <si>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</si>
  <si>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</si>
  <si>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</si>
  <si>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</si>
  <si>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</si>
  <si>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</si>
  <si>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</si>
  <si>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</si>
  <si>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</si>
  <si>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</si>
  <si>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</si>
  <si>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</si>
  <si>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</si>
  <si>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</si>
  <si>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</si>
  <si>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</si>
  <si>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</si>
  <si>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</si>
  <si>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</si>
  <si>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</si>
  <si>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</si>
  <si>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</si>
  <si>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</si>
  <si>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</si>
  <si>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</si>
  <si>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</si>
  <si>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</si>
  <si>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</si>
  <si>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</si>
  <si>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</si>
  <si>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</si>
  <si>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</si>
  <si>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</si>
  <si>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</si>
  <si>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</si>
  <si>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</si>
  <si>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</si>
  <si>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</si>
  <si>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</si>
  <si>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</si>
  <si>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</si>
  <si>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</si>
  <si>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</si>
  <si>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</si>
  <si>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</si>
  <si>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</si>
  <si>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</si>
  <si>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</si>
  <si>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</si>
  <si>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</si>
  <si>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</si>
  <si>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</si>
  <si>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</si>
  <si>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</si>
  <si>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</si>
  <si>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</si>
  <si>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</si>
  <si>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</si>
  <si>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</si>
  <si>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</si>
  <si>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</si>
  <si>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</si>
  <si>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</si>
  <si>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</si>
  <si>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</si>
  <si>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</si>
  <si>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</si>
  <si>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</si>
  <si>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</si>
  <si>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</si>
  <si>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</si>
  <si>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</si>
  <si>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</si>
  <si>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</si>
  <si>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</si>
  <si>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</si>
  <si>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</si>
  <si>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</si>
  <si>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</si>
  <si>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</si>
  <si>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</si>
  <si>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</si>
  <si>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</si>
  <si>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</si>
  <si>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</si>
  <si>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</si>
  <si>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</si>
  <si>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</si>
  <si>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</si>
  <si>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</si>
  <si>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</si>
  <si>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</si>
  <si>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</si>
  <si>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</si>
  <si>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</si>
  <si>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</si>
  <si>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</si>
  <si>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</si>
  <si>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</si>
  <si>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</si>
  <si>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</si>
  <si>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</si>
  <si>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</si>
  <si>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</si>
  <si>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</si>
  <si>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</si>
  <si>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</si>
  <si>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</si>
  <si>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</si>
  <si>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</si>
  <si>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</si>
  <si>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</si>
  <si>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</si>
  <si>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</si>
  <si>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</si>
  <si>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</si>
  <si>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</si>
  <si>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</si>
  <si>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</si>
  <si>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</si>
  <si>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</si>
  <si>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</si>
  <si>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</si>
  <si>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</si>
  <si>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</si>
  <si>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</si>
  <si>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</si>
  <si>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</si>
  <si>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</si>
  <si>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</si>
  <si>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</si>
  <si>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</si>
  <si>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</si>
  <si>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</si>
  <si>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</si>
  <si>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</si>
  <si>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</si>
  <si>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</si>
  <si>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</si>
  <si>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</si>
  <si>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</si>
  <si>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</si>
  <si>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</si>
  <si>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</si>
  <si>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</si>
  <si>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</si>
  <si>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</si>
  <si>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</si>
  <si>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</si>
  <si>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</si>
  <si>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</si>
  <si>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</si>
  <si>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</si>
  <si>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</si>
  <si>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</si>
  <si>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</si>
  <si>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</si>
  <si>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</si>
  <si>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</si>
  <si>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</si>
  <si>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</si>
  <si>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</si>
  <si>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</si>
  <si>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</si>
  <si>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</si>
  <si>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</si>
  <si>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</si>
  <si>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</si>
  <si>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</si>
  <si>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</si>
  <si>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</si>
  <si>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</si>
  <si>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</si>
  <si>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</si>
  <si>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</si>
  <si>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</si>
  <si>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</si>
  <si>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</si>
  <si>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</si>
  <si>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</si>
  <si>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</si>
  <si>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</si>
  <si>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</si>
  <si>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</si>
  <si>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</si>
  <si>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</si>
  <si>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</si>
  <si>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</si>
  <si>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</si>
  <si>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</si>
  <si>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</si>
  <si>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</si>
  <si>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</si>
  <si>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</si>
  <si>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</si>
  <si>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</si>
  <si>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</si>
  <si>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</si>
  <si>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</si>
  <si>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</si>
  <si>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</si>
  <si>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</si>
  <si>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</si>
  <si>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</si>
  <si>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</si>
  <si>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</si>
  <si>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</si>
  <si>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</si>
  <si>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</si>
  <si>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</si>
  <si>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</si>
  <si>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</si>
  <si>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</si>
  <si>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</si>
  <si>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</si>
  <si>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</si>
  <si>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</si>
  <si>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</si>
  <si>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</si>
  <si>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</si>
  <si>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</si>
  <si>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</si>
  <si>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</si>
  <si>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</si>
  <si>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</si>
  <si>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</si>
  <si>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</si>
  <si>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</si>
  <si>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</si>
  <si>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</si>
  <si>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</si>
  <si>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</si>
  <si>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</si>
  <si>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</si>
  <si>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</si>
  <si>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</si>
  <si>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</si>
  <si>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</si>
  <si>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</si>
  <si>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</si>
  <si>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</si>
  <si>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</si>
  <si>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</si>
  <si>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</si>
  <si>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</si>
  <si>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</si>
  <si>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</si>
  <si>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</si>
  <si>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</si>
  <si>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</si>
  <si>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</si>
  <si>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</si>
  <si>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</si>
  <si>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</si>
  <si>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</si>
  <si>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</si>
  <si>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</si>
  <si>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</si>
  <si>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</si>
  <si>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</si>
  <si>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</si>
  <si>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</si>
  <si>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</si>
  <si>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</si>
  <si>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</si>
  <si>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</si>
  <si>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</si>
  <si>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</si>
  <si>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</si>
  <si>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</si>
  <si>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</si>
  <si>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</si>
  <si>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</si>
  <si>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</si>
  <si>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</si>
  <si>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</si>
  <si>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</si>
  <si>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</si>
  <si>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</si>
  <si>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</si>
  <si>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</si>
  <si>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</si>
  <si>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</si>
  <si>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</si>
  <si>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</si>
  <si>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</si>
  <si>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</si>
  <si>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</si>
  <si>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</si>
  <si>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</si>
  <si>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</si>
  <si>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</si>
  <si>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</si>
  <si>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</si>
  <si>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</si>
  <si>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</si>
  <si>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</si>
  <si>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</si>
  <si>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</si>
  <si>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</si>
  <si>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</si>
  <si>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</si>
  <si>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</si>
  <si>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</si>
  <si>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</si>
  <si>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</si>
  <si>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</si>
  <si>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</si>
  <si>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</si>
  <si>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</si>
  <si>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</si>
  <si>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</si>
  <si>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</si>
  <si>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</si>
  <si>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</si>
  <si>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</si>
  <si>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</si>
  <si>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</si>
  <si>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</si>
  <si>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</si>
  <si>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</si>
  <si>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</si>
  <si>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</si>
  <si>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</si>
  <si>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</si>
  <si>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</si>
  <si>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</si>
  <si>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</si>
  <si>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</si>
  <si>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</si>
  <si>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</si>
  <si>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</si>
  <si>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</si>
  <si>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</si>
  <si>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</si>
  <si>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</si>
  <si>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</si>
  <si>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</si>
  <si>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</si>
  <si>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</si>
  <si>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</si>
  <si>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</si>
  <si>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</si>
  <si>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</si>
  <si>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</si>
  <si>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</si>
  <si>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</si>
  <si>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</si>
  <si>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</si>
  <si>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</si>
  <si>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</si>
  <si>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</si>
  <si>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</si>
  <si>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</si>
  <si>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</si>
  <si>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</si>
  <si>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</si>
  <si>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</si>
  <si>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</si>
  <si>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</si>
  <si>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</si>
  <si>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</si>
  <si>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</si>
  <si>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</si>
  <si>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</si>
  <si>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</si>
  <si>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</si>
  <si>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</si>
  <si>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</si>
  <si>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</si>
  <si>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</si>
  <si>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</si>
  <si>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</si>
  <si>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</si>
  <si>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</si>
  <si>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</si>
  <si>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</si>
  <si>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</si>
  <si>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</si>
  <si>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</si>
  <si>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</si>
  <si>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</si>
  <si>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</si>
  <si>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</si>
  <si>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</si>
  <si>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</si>
  <si>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</si>
  <si>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</si>
  <si>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</si>
  <si>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</si>
  <si>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</si>
  <si>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</si>
  <si>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</si>
  <si>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</si>
  <si>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</si>
  <si>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</si>
  <si>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</si>
  <si>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</si>
  <si>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</si>
  <si>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</si>
  <si>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</si>
  <si>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</si>
  <si>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</si>
  <si>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</si>
  <si>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</si>
  <si>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</si>
  <si>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</si>
  <si>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</si>
  <si>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</si>
  <si>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</si>
  <si>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</si>
  <si>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</si>
  <si>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</si>
  <si>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</si>
  <si>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</si>
  <si>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</si>
  <si>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</si>
  <si>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</si>
  <si>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</si>
  <si>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</si>
  <si>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</si>
  <si>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</si>
  <si>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</si>
  <si>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</si>
  <si>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</si>
  <si>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</si>
  <si>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</si>
  <si>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</si>
  <si>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</si>
  <si>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</si>
  <si>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</si>
  <si>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</si>
  <si>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</si>
  <si>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</si>
  <si>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</si>
  <si>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</si>
  <si>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</si>
  <si>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</si>
  <si>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</si>
  <si>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</si>
  <si>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</si>
  <si>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</si>
  <si>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</si>
  <si>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</si>
  <si>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</si>
  <si>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</si>
  <si>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</si>
  <si>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</si>
  <si>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</si>
  <si>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</si>
  <si>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</si>
  <si>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</si>
  <si>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</si>
  <si>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</si>
  <si>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</si>
  <si>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</si>
  <si>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</si>
  <si>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</si>
  <si>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</si>
  <si>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</si>
  <si>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</si>
  <si>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</si>
  <si>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</si>
  <si>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</si>
  <si>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</si>
  <si>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</si>
  <si>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</si>
  <si>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</si>
  <si>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</si>
  <si>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</si>
  <si>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</si>
  <si>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</si>
  <si>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</si>
  <si>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</si>
  <si>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</si>
  <si>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</si>
  <si>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</si>
  <si>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</si>
  <si>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</si>
  <si>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</si>
  <si>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</si>
  <si>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</si>
  <si>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</si>
  <si>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</si>
  <si>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</si>
  <si>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</si>
  <si>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</si>
  <si>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</si>
  <si>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</si>
  <si>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</si>
  <si>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</si>
  <si>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</si>
  <si>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</si>
  <si>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</si>
  <si>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</si>
  <si>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</si>
  <si>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</si>
  <si>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</si>
  <si>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</si>
  <si>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</si>
  <si>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</si>
  <si>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</si>
  <si>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</si>
  <si>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</si>
  <si>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</si>
  <si>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</si>
  <si>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</si>
  <si>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</si>
  <si>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</si>
  <si>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</si>
  <si>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</si>
  <si>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</si>
  <si>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</si>
  <si>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</si>
  <si>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</si>
  <si>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</si>
  <si>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</si>
  <si>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</si>
  <si>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</si>
  <si>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</si>
  <si>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</si>
  <si>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</si>
  <si>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</si>
  <si>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</si>
  <si>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</si>
  <si>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</si>
  <si>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</si>
  <si>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</si>
  <si>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</si>
  <si>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</si>
  <si>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</si>
  <si>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</si>
  <si>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</si>
  <si>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</si>
  <si>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</si>
  <si>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</si>
  <si>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</si>
  <si>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</si>
  <si>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</si>
  <si>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</si>
  <si>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</si>
  <si>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</si>
  <si>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</si>
  <si>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</si>
  <si>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</si>
  <si>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</si>
  <si>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</si>
  <si>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</si>
  <si>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</si>
  <si>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</si>
  <si>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</si>
  <si>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</si>
  <si>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</si>
  <si>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</si>
  <si>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</si>
  <si>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</si>
  <si>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</si>
  <si>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</si>
  <si>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</si>
  <si>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</si>
  <si>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</si>
  <si>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</si>
  <si>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</si>
  <si>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</si>
  <si>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</si>
  <si>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</si>
  <si>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</si>
  <si>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</si>
  <si>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</si>
  <si>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</si>
  <si>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</si>
  <si>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</si>
  <si>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</si>
  <si>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</si>
  <si>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</si>
  <si>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</si>
  <si>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</si>
  <si>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</si>
  <si>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</si>
  <si>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</si>
  <si>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</si>
  <si>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</si>
  <si>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</si>
  <si>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</si>
  <si>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</si>
  <si>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</si>
  <si>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</si>
  <si>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</si>
  <si>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</si>
  <si>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</si>
  <si>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</si>
  <si>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</si>
  <si>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</si>
  <si>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</si>
  <si>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</si>
  <si>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</si>
  <si>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</si>
  <si>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</si>
  <si>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</si>
  <si>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</si>
  <si>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</si>
  <si>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</si>
  <si>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</si>
  <si>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</si>
  <si>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</si>
  <si>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</si>
  <si>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</si>
  <si>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</si>
  <si>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</si>
  <si>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</si>
  <si>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</si>
  <si>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</si>
  <si>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</si>
  <si>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</si>
  <si>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</si>
  <si>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</si>
  <si>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</si>
  <si>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</si>
  <si>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</si>
  <si>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</si>
  <si>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</si>
  <si>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</si>
  <si>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</si>
  <si>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</si>
  <si>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</si>
  <si>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</si>
  <si>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</si>
  <si>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</si>
  <si>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</si>
  <si>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</si>
  <si>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</si>
  <si>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</si>
  <si>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</si>
  <si>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</si>
  <si>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</si>
  <si>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</si>
  <si>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</si>
  <si>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</si>
  <si>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</si>
  <si>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</si>
  <si>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</si>
  <si>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</si>
  <si>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</si>
  <si>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</si>
  <si>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</si>
  <si>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</si>
  <si>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</si>
  <si>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</si>
  <si>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</si>
  <si>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</si>
  <si>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</si>
  <si>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</si>
  <si>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</si>
  <si>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</si>
  <si>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</si>
  <si>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</si>
  <si>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</si>
  <si>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</si>
  <si>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</si>
  <si>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</si>
  <si>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</si>
  <si>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</si>
  <si>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</si>
  <si>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</si>
  <si>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</si>
  <si>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</si>
  <si>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</si>
  <si>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</si>
  <si>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</si>
  <si>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</si>
  <si>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</si>
  <si>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</si>
  <si>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</si>
  <si>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</si>
  <si>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</si>
  <si>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</si>
  <si>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</si>
  <si>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</si>
  <si>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</si>
  <si>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</si>
  <si>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</si>
  <si>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</si>
  <si>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</si>
  <si>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</si>
  <si>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</si>
  <si>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</si>
  <si>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</si>
  <si>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</si>
  <si>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</si>
  <si>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</si>
  <si>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</si>
  <si>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</si>
  <si>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</si>
  <si>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</si>
  <si>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</si>
  <si>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</si>
  <si>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</si>
  <si>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</si>
  <si>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</si>
  <si>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</si>
  <si>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</si>
  <si>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</si>
  <si>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</si>
  <si>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</si>
  <si>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</si>
  <si>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</si>
  <si>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</si>
  <si>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</si>
  <si>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</si>
  <si>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</si>
  <si>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</si>
  <si>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</si>
  <si>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</si>
  <si>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</si>
  <si>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</si>
  <si>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</si>
  <si>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</si>
  <si>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</si>
  <si>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</si>
  <si>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</si>
  <si>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</si>
  <si>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</si>
  <si>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</si>
  <si>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</si>
  <si>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</si>
  <si>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</si>
  <si>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</si>
  <si>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</si>
  <si>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</si>
  <si>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</si>
  <si>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</si>
  <si>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</si>
  <si>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</si>
  <si>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</si>
  <si>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</si>
  <si>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</si>
  <si>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</si>
  <si>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</si>
  <si>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</si>
  <si>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</si>
  <si>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</si>
  <si>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</si>
  <si>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</si>
  <si>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</si>
  <si>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</si>
  <si>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</si>
  <si>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</si>
  <si>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</si>
  <si>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</si>
  <si>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</si>
  <si>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</si>
  <si>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</si>
  <si>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</si>
  <si>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</si>
  <si>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</si>
  <si>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</si>
  <si>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</si>
  <si>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</si>
  <si>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</si>
  <si>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</si>
  <si>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</si>
  <si>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</si>
  <si>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</si>
  <si>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</si>
  <si>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</si>
  <si>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</si>
  <si>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</si>
  <si>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</si>
  <si>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</si>
  <si>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</si>
  <si>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</si>
  <si>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</si>
  <si>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</si>
  <si>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</si>
  <si>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</si>
  <si>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</si>
  <si>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</si>
  <si>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</si>
  <si>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</si>
  <si>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</si>
  <si>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</si>
  <si>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</si>
  <si>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</si>
  <si>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</si>
  <si>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</si>
  <si>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</si>
  <si>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</si>
  <si>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</si>
  <si>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</si>
  <si>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</si>
  <si>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</si>
  <si>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</si>
  <si>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</si>
  <si>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</si>
  <si>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</si>
  <si>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</si>
  <si>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</si>
  <si>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</si>
  <si>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</si>
  <si>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</si>
  <si>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</si>
  <si>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</si>
  <si>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</si>
  <si>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</si>
  <si>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</si>
  <si>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</si>
  <si>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</si>
  <si>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</si>
  <si>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</si>
  <si>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</si>
  <si>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</si>
  <si>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</si>
  <si>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</si>
  <si>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</si>
  <si>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</si>
  <si>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</si>
  <si>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</si>
  <si>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</si>
  <si>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</si>
  <si>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</si>
  <si>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</si>
  <si>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</si>
  <si>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</si>
  <si>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</si>
  <si>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</si>
  <si>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</si>
  <si>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</si>
  <si>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</si>
  <si>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</si>
  <si>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</si>
  <si>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</si>
  <si>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</si>
  <si>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</si>
  <si>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</si>
  <si>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</si>
  <si>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</si>
  <si>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</si>
  <si>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</si>
  <si>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</si>
  <si>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</si>
  <si>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</si>
  <si>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</si>
  <si>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</si>
  <si>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</si>
  <si>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</si>
  <si>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</si>
  <si>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</si>
  <si>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</si>
  <si>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</si>
  <si>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</si>
  <si>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</si>
  <si>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</si>
  <si>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</si>
  <si>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</si>
  <si>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</si>
  <si>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</si>
  <si>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</si>
  <si>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</si>
  <si>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</si>
  <si>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</si>
  <si>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</si>
  <si>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</si>
  <si>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</si>
  <si>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</si>
  <si>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</si>
  <si>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</si>
  <si>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</si>
  <si>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</si>
  <si>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</si>
  <si>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</si>
  <si>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</si>
  <si>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</si>
  <si>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</si>
  <si>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</si>
  <si>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</si>
  <si>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</si>
  <si>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</si>
  <si>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</si>
  <si>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</si>
  <si>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</si>
  <si>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</si>
  <si>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</si>
  <si>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</si>
  <si>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</si>
  <si>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</si>
  <si>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</si>
  <si>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</si>
  <si>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</si>
  <si>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</si>
  <si>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</si>
  <si>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</si>
  <si>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</si>
  <si>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</si>
  <si>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</si>
  <si>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</si>
  <si>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</si>
  <si>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</si>
  <si>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</si>
  <si>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</si>
  <si>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</si>
  <si>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</si>
  <si>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</si>
  <si>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</si>
  <si>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</si>
  <si>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</si>
  <si>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</si>
  <si>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</si>
  <si>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</si>
  <si>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</si>
  <si>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</si>
  <si>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</si>
  <si>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</si>
  <si>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</si>
  <si>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</si>
  <si>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</si>
  <si>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</si>
  <si>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</si>
  <si>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</si>
  <si>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</si>
  <si>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</si>
  <si>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</si>
  <si>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</si>
  <si>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</si>
  <si>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</si>
  <si>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</si>
  <si>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</si>
  <si>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</si>
  <si>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</si>
  <si>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</si>
  <si>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</si>
  <si>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</si>
  <si>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</si>
  <si>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</si>
  <si>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</si>
  <si>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</si>
  <si>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</si>
  <si>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</si>
  <si>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</si>
  <si>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</si>
  <si>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</si>
  <si>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</si>
  <si>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</si>
  <si>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</si>
  <si>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</si>
  <si>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</si>
  <si>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</si>
  <si>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</si>
  <si>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</si>
  <si>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</si>
  <si>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</si>
  <si>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</si>
  <si>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</si>
  <si>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</si>
  <si>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</si>
  <si>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</si>
  <si>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</si>
  <si>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</si>
  <si>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</si>
  <si>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</si>
  <si>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</si>
  <si>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</si>
  <si>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</si>
  <si>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</si>
  <si>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</si>
  <si>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</si>
  <si>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</si>
  <si>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</si>
  <si>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</si>
  <si>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</si>
  <si>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</si>
  <si>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</si>
  <si>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</si>
  <si>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</si>
  <si>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</si>
  <si>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</si>
  <si>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</si>
  <si>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</si>
  <si>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</si>
  <si>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</si>
  <si>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</si>
  <si>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</si>
  <si>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</si>
  <si>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</si>
  <si>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</si>
  <si>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</si>
  <si>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</si>
  <si>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</si>
  <si>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</si>
  <si>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</si>
  <si>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</si>
  <si>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</si>
  <si>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</si>
  <si>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</si>
  <si>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</si>
  <si>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</si>
  <si>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</si>
  <si>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</si>
  <si>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</si>
  <si>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</si>
  <si>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</si>
  <si>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</si>
  <si>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</si>
  <si>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</si>
  <si>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</si>
  <si>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</si>
  <si>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</si>
  <si>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</si>
  <si>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</si>
  <si>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</si>
  <si>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</si>
  <si>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</si>
  <si>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</si>
  <si>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</si>
  <si>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</si>
  <si>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</si>
  <si>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</si>
  <si>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</si>
  <si>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</si>
  <si>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</si>
  <si>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</si>
  <si>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</si>
  <si>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</si>
  <si>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</si>
  <si>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</si>
  <si>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</si>
  <si>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</si>
  <si>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</si>
  <si>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</si>
  <si>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</si>
  <si>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</si>
  <si>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</si>
  <si>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</si>
  <si>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</si>
  <si>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</si>
  <si>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</si>
  <si>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</si>
  <si>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</si>
  <si>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</si>
  <si>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</si>
  <si>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</si>
  <si>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</si>
  <si>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</si>
  <si>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</si>
  <si>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</si>
  <si>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</si>
  <si>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</si>
  <si>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</si>
  <si>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</si>
  <si>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</si>
  <si>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</si>
  <si>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</si>
  <si>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</si>
  <si>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</si>
  <si>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</si>
  <si>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</si>
  <si>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</si>
  <si>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</si>
  <si>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</si>
  <si>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</si>
  <si>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</si>
  <si>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</si>
  <si>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</si>
  <si>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</si>
  <si>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</si>
  <si>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</si>
  <si>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</si>
  <si>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</si>
  <si>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</si>
  <si>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</si>
  <si>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</si>
  <si>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</si>
  <si>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</si>
  <si>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</si>
  <si>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</si>
  <si>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</si>
  <si>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</si>
  <si>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</si>
  <si>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</si>
  <si>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</si>
  <si>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</si>
  <si>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</si>
  <si>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</si>
  <si>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</si>
  <si>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</si>
  <si>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</si>
  <si>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</si>
  <si>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</si>
  <si>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</si>
  <si>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</si>
  <si>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</si>
  <si>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</si>
  <si>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</si>
  <si>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</si>
  <si>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</si>
  <si>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</si>
  <si>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</si>
  <si>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</si>
  <si>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</si>
  <si>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</si>
  <si>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</si>
  <si>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</si>
  <si>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</si>
  <si>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</si>
  <si>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</si>
  <si>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</si>
  <si>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</si>
  <si>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</si>
  <si>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</si>
  <si>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</si>
  <si>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</si>
  <si>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</si>
  <si>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</si>
  <si>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</si>
  <si>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</si>
  <si>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</si>
  <si>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</si>
  <si>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</si>
  <si>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</si>
  <si>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</si>
  <si>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</si>
  <si>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</si>
  <si>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</si>
  <si>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</si>
  <si>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</si>
  <si>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</si>
  <si>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</si>
  <si>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</si>
  <si>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</si>
  <si>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</si>
  <si>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</si>
  <si>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</si>
  <si>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</si>
  <si>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</si>
  <si>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</si>
  <si>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</si>
  <si>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</si>
  <si>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</si>
  <si>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</si>
  <si>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</si>
  <si>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</si>
  <si>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</si>
  <si>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</si>
  <si>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</si>
  <si>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</si>
  <si>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</si>
  <si>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</si>
  <si>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</si>
  <si>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</si>
  <si>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</si>
  <si>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</si>
  <si>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</si>
  <si>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</si>
  <si>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</si>
  <si>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</si>
  <si>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</si>
  <si>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</si>
  <si>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</si>
  <si>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</si>
  <si>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</si>
  <si>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</si>
  <si>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</si>
  <si>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</si>
  <si>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</si>
  <si>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</si>
  <si>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</si>
  <si>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</si>
  <si>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</si>
  <si>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</si>
  <si>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</si>
  <si>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</si>
  <si>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</si>
  <si>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</si>
  <si>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</si>
  <si>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</si>
  <si>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</si>
  <si>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</si>
  <si>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</si>
  <si>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</si>
  <si>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</si>
  <si>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</si>
  <si>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</si>
  <si>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</si>
  <si>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</si>
  <si>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</si>
  <si>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</si>
  <si>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</si>
  <si>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</si>
  <si>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</si>
  <si>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</si>
  <si>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</si>
  <si>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</si>
  <si>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</si>
  <si>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</si>
  <si>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</si>
  <si>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</si>
  <si>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</si>
  <si>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</si>
  <si>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</si>
  <si>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</si>
  <si>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</si>
  <si>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</si>
  <si>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</si>
  <si>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</si>
  <si>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</si>
  <si>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</si>
  <si>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</si>
  <si>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</si>
  <si>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</si>
  <si>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</si>
  <si>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</si>
  <si>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</si>
  <si>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</si>
  <si>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</si>
  <si>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</si>
  <si>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</si>
  <si>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</si>
  <si>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</si>
  <si>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</si>
  <si>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</si>
  <si>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</si>
  <si>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</si>
  <si>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</si>
  <si>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</si>
  <si>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</si>
  <si>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</si>
  <si>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</si>
  <si>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</si>
  <si>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</si>
  <si>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</si>
  <si>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</si>
  <si>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</si>
  <si>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</si>
  <si>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</si>
  <si>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</si>
  <si>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</si>
  <si>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</si>
  <si>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</si>
  <si>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</si>
  <si>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</si>
  <si>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</si>
  <si>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</si>
  <si>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</si>
  <si>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</si>
  <si>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</si>
  <si>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</si>
  <si>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</si>
  <si>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</si>
  <si>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</si>
  <si>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</si>
  <si>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</si>
  <si>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</si>
  <si>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</si>
  <si>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</si>
  <si>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</si>
  <si>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</si>
  <si>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</si>
  <si>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</si>
  <si>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</si>
  <si>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</si>
  <si>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</si>
  <si>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</si>
  <si>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</si>
  <si>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</si>
  <si>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</si>
  <si>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</si>
  <si>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</si>
  <si>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</si>
  <si>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</si>
  <si>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</si>
  <si>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</si>
  <si>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</si>
  <si>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</si>
  <si>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</si>
  <si>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</si>
  <si>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</si>
  <si>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</si>
  <si>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</si>
  <si>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</si>
  <si>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</si>
  <si>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</si>
  <si>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</si>
  <si>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</si>
  <si>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</si>
  <si>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</si>
  <si>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</si>
  <si>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</si>
  <si>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</si>
  <si>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</si>
  <si>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</si>
  <si>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</si>
  <si>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</si>
  <si>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</si>
  <si>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</si>
  <si>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</si>
  <si>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</si>
  <si>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</si>
  <si>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</si>
  <si>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</si>
  <si>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</si>
  <si>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</si>
  <si>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</si>
  <si>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</si>
  <si>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</si>
  <si>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</si>
  <si>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</si>
  <si>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</si>
  <si>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</si>
  <si>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</si>
  <si>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</si>
  <si>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</si>
  <si>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</si>
  <si>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</si>
  <si>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</si>
  <si>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</si>
  <si>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</si>
  <si>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</si>
  <si>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</si>
  <si>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</si>
  <si>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</si>
  <si>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</si>
  <si>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</si>
  <si>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</si>
  <si>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</si>
  <si>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</si>
  <si>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</si>
  <si>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</si>
  <si>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</si>
  <si>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</si>
  <si>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</si>
  <si>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</si>
  <si>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</si>
  <si>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</si>
  <si>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</si>
  <si>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</si>
  <si>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</si>
  <si>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</si>
  <si>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</si>
  <si>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</si>
  <si>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</si>
  <si>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</si>
  <si>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</si>
  <si>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</si>
  <si>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</si>
  <si>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</si>
  <si>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</si>
  <si>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</si>
  <si>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</si>
  <si>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</si>
  <si>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</si>
  <si>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</si>
  <si>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</si>
  <si>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</si>
  <si>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</si>
  <si>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</si>
  <si>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</si>
  <si>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</si>
  <si>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</si>
  <si>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</si>
  <si>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</si>
  <si>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</si>
  <si>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</si>
  <si>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</si>
  <si>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</si>
  <si>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</si>
  <si>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</si>
  <si>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</si>
  <si>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</si>
  <si>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</si>
  <si>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</si>
  <si>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</si>
  <si>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</si>
  <si>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</si>
  <si>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</si>
  <si>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</si>
  <si>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</si>
  <si>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</si>
  <si>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</si>
  <si>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</si>
  <si>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</si>
  <si>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</si>
  <si>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</si>
  <si>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</si>
  <si>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</si>
  <si>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</si>
  <si>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</si>
  <si>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</si>
  <si>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</si>
  <si>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</si>
  <si>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</si>
  <si>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</si>
  <si>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</si>
  <si>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</si>
  <si>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</si>
  <si>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</si>
  <si>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</si>
  <si>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</si>
  <si>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</si>
  <si>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</si>
  <si>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</si>
  <si>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</si>
  <si>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</si>
  <si>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</si>
  <si>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</si>
  <si>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</si>
  <si>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</si>
  <si>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</si>
  <si>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</si>
  <si>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</si>
  <si>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</si>
  <si>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</si>
  <si>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</si>
  <si>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</si>
  <si>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</si>
  <si>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</si>
  <si>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</si>
  <si>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</si>
  <si>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</si>
  <si>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</si>
  <si>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</si>
  <si>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</si>
  <si>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</si>
  <si>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</si>
  <si>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</si>
  <si>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</si>
  <si>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</si>
  <si>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</si>
  <si>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</si>
  <si>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</si>
  <si>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</si>
  <si>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</si>
  <si>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</si>
  <si>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</si>
  <si>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</si>
  <si>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</si>
  <si>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</si>
  <si>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</si>
  <si>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</si>
  <si>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</si>
  <si>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</si>
  <si>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</si>
  <si>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</si>
  <si>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</si>
  <si>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</si>
  <si>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</si>
  <si>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</si>
  <si>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</si>
  <si>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</si>
  <si>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</si>
  <si>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</si>
  <si>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</si>
  <si>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</si>
  <si>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</si>
  <si>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</si>
  <si>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</si>
  <si>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</si>
  <si>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</si>
  <si>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</si>
  <si>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</si>
  <si>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</si>
  <si>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</si>
  <si>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</si>
  <si>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</si>
  <si>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</si>
  <si>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</si>
  <si>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</si>
  <si>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</si>
  <si>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</si>
  <si>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</si>
  <si>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</si>
  <si>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</si>
  <si>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</si>
  <si>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</si>
  <si>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</si>
  <si>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</si>
  <si>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</si>
  <si>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</si>
  <si>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</si>
  <si>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</si>
  <si>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</si>
  <si>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</si>
  <si>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</si>
  <si>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</si>
  <si>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</si>
  <si>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</si>
  <si>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</si>
  <si>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</si>
  <si>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</si>
  <si>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</si>
  <si>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</si>
  <si>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</si>
  <si>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</si>
  <si>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</si>
  <si>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</si>
  <si>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</si>
  <si>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</si>
  <si>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</si>
  <si>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</si>
  <si>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</si>
  <si>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</si>
  <si>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</si>
  <si>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</si>
  <si>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</si>
  <si>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</si>
  <si>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</si>
  <si>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</si>
  <si>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</si>
  <si>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</si>
  <si>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</si>
  <si>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</si>
  <si>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</si>
  <si>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</si>
  <si>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</si>
  <si>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</si>
  <si>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</si>
  <si>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</si>
  <si>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</si>
  <si>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</si>
  <si>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</si>
  <si>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</si>
  <si>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</si>
  <si>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</si>
  <si>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</si>
  <si>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</si>
  <si>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</si>
  <si>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</si>
  <si>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</si>
  <si>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</si>
  <si>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</si>
  <si>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</si>
  <si>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</si>
  <si>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</si>
  <si>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</si>
  <si>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</si>
  <si>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</si>
  <si>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</si>
  <si>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</si>
  <si>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</si>
  <si>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</si>
  <si>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</si>
  <si>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</si>
  <si>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</si>
  <si>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</si>
  <si>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</si>
  <si>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</si>
  <si>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</si>
  <si>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</si>
  <si>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</si>
  <si>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</si>
  <si>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</si>
  <si>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</si>
  <si>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</si>
  <si>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</si>
  <si>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</si>
  <si>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</si>
  <si>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</si>
  <si>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</si>
  <si>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</si>
  <si>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</si>
  <si>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</si>
  <si>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</si>
  <si>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</si>
  <si>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</si>
  <si>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</si>
  <si>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</si>
  <si>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</si>
  <si>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</si>
  <si>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</si>
  <si>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</si>
  <si>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</si>
  <si>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</si>
  <si>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</si>
  <si>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</si>
  <si>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</si>
  <si>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</si>
  <si>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</si>
  <si>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</si>
  <si>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</si>
  <si>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</si>
  <si>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</si>
  <si>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</si>
  <si>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</si>
  <si>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</si>
  <si>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</si>
  <si>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</si>
  <si>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</si>
  <si>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</si>
  <si>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</si>
  <si>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</si>
  <si>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</si>
  <si>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</si>
  <si>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</si>
  <si>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</si>
  <si>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</si>
  <si>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</si>
  <si>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</si>
  <si>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</si>
  <si>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</si>
  <si>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</si>
  <si>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</si>
  <si>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</si>
  <si>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</si>
  <si>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</si>
  <si>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</si>
  <si>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</si>
  <si>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</si>
  <si>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</si>
  <si>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</si>
  <si>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</si>
  <si>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</si>
  <si>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</si>
  <si>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</si>
  <si>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</si>
  <si>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</si>
  <si>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</si>
  <si>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</si>
  <si>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</si>
  <si>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</si>
  <si>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</si>
  <si>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</si>
  <si>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</si>
  <si>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</si>
  <si>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</si>
  <si>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</si>
  <si>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</si>
  <si>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</si>
  <si>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</si>
  <si>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</si>
  <si>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</si>
  <si>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</si>
  <si>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</si>
  <si>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</si>
  <si>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</si>
  <si>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</si>
  <si>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</si>
  <si>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</si>
  <si>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</si>
  <si>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</si>
  <si>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</si>
  <si>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</si>
  <si>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</si>
  <si>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</si>
  <si>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</si>
  <si>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</si>
  <si>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</si>
  <si>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</si>
  <si>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</si>
  <si>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</si>
  <si>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</si>
  <si>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</si>
  <si>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</si>
  <si>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</si>
  <si>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</si>
  <si>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</si>
  <si>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</si>
  <si>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</si>
  <si>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</si>
  <si>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</si>
  <si>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</si>
  <si>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</si>
  <si>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</si>
  <si>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</si>
  <si>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</si>
  <si>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</si>
  <si>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</si>
  <si>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</si>
  <si>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</si>
  <si>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</si>
  <si>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</si>
  <si>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</si>
  <si>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</si>
  <si>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</si>
  <si>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</si>
  <si>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</si>
  <si>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</si>
  <si>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</si>
  <si>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</si>
  <si>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</si>
  <si>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</si>
  <si>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</si>
  <si>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</si>
  <si>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</si>
  <si>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</si>
  <si>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</si>
  <si>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</si>
  <si>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</si>
  <si>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</si>
  <si>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</si>
  <si>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</si>
  <si>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</si>
  <si>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</si>
  <si>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</si>
  <si>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</si>
  <si>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</si>
  <si>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</si>
  <si>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</si>
  <si>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</si>
  <si>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</si>
  <si>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</si>
  <si>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</si>
  <si>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</si>
  <si>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</si>
  <si>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</si>
  <si>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</si>
  <si>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</si>
  <si>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</si>
  <si>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</si>
  <si>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</si>
  <si>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</si>
  <si>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</si>
  <si>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</si>
  <si>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</si>
  <si>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</si>
  <si>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</si>
  <si>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</si>
  <si>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</si>
  <si>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</si>
  <si>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</si>
  <si>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</si>
  <si>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</si>
  <si>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</si>
  <si>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</si>
  <si>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</si>
  <si>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</si>
  <si>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</si>
  <si>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</si>
  <si>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</si>
  <si>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</si>
  <si>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</si>
  <si>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</si>
  <si>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</si>
  <si>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</si>
  <si>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</si>
  <si>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</si>
  <si>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</si>
  <si>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</si>
  <si>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</si>
  <si>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</si>
  <si>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</si>
  <si>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</si>
  <si>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</si>
  <si>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</si>
  <si>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</si>
  <si>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</si>
  <si>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</si>
  <si>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</si>
  <si>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</si>
  <si>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</si>
  <si>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</si>
  <si>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</si>
  <si>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</si>
  <si>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</si>
  <si>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</si>
  <si>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</si>
  <si>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</si>
  <si>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</si>
  <si>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</si>
  <si>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</si>
  <si>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</si>
  <si>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</si>
  <si>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</si>
  <si>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</si>
  <si>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</si>
  <si>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</si>
  <si>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</si>
  <si>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</si>
  <si>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</si>
  <si>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</si>
  <si>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</si>
  <si>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</si>
  <si>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</si>
  <si>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</si>
  <si>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</si>
  <si>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</si>
  <si>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</si>
  <si>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</si>
  <si>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</si>
  <si>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</si>
  <si>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</si>
  <si>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</si>
  <si>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</si>
  <si>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</si>
  <si>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</si>
  <si>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</si>
  <si>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</si>
  <si>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</si>
  <si>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</si>
  <si>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</si>
  <si>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</si>
  <si>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</si>
  <si>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</si>
  <si>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</si>
  <si>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</si>
  <si>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</si>
  <si>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</si>
  <si>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</si>
  <si>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</si>
  <si>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</si>
  <si>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</si>
  <si>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</si>
  <si>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</si>
  <si>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</si>
  <si>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</si>
  <si>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</si>
  <si>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</si>
  <si>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</si>
  <si>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</si>
  <si>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</si>
  <si>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</si>
  <si>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</si>
  <si>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</si>
  <si>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</si>
  <si>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</si>
  <si>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</si>
  <si>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</si>
  <si>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</si>
  <si>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</si>
  <si>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</si>
  <si>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</si>
  <si>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</si>
  <si>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</si>
  <si>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</si>
  <si>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</si>
  <si>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</si>
  <si>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</si>
  <si>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</si>
  <si>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</si>
  <si>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</si>
  <si>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</si>
  <si>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</si>
  <si>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</si>
  <si>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</si>
  <si>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</si>
  <si>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</si>
  <si>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</si>
  <si>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</si>
  <si>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</si>
  <si>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</si>
  <si>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</si>
  <si>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</si>
  <si>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</si>
  <si>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</si>
  <si>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</si>
  <si>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</si>
  <si>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</si>
  <si>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</si>
  <si>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</si>
  <si>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</si>
  <si>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</si>
  <si>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</si>
  <si>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</si>
  <si>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</si>
  <si>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</si>
  <si>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</si>
  <si>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</si>
  <si>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</si>
  <si>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</si>
  <si>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</si>
  <si>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</si>
  <si>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</si>
  <si>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</si>
  <si>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</si>
  <si>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</si>
  <si>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</si>
  <si>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</si>
  <si>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</si>
  <si>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</si>
  <si>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</si>
  <si>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</si>
  <si>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</si>
  <si>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</si>
  <si>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</si>
  <si>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</si>
  <si>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</si>
  <si>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</si>
  <si>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</si>
  <si>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</si>
  <si>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</si>
  <si>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</si>
  <si>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</si>
  <si>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</si>
  <si>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</si>
  <si>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</si>
  <si>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</si>
  <si>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</si>
  <si>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</si>
  <si>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</si>
  <si>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</si>
  <si>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</si>
  <si>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</si>
  <si>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</si>
  <si>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</si>
  <si>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</si>
  <si>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</si>
  <si>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</si>
  <si>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</si>
  <si>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</si>
  <si>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</si>
  <si>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</si>
  <si>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</si>
  <si>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</si>
  <si>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</si>
  <si>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</si>
  <si>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</si>
  <si>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</si>
  <si>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</si>
  <si>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</si>
  <si>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</si>
  <si>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</si>
  <si>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</si>
  <si>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</si>
  <si>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</si>
  <si>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</si>
  <si>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</si>
  <si>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</si>
  <si>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</si>
  <si>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</si>
  <si>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</si>
  <si>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</si>
  <si>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</si>
  <si>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</si>
  <si>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</si>
  <si>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</si>
  <si>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</si>
  <si>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</si>
  <si>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</si>
  <si>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</si>
  <si>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</si>
  <si>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</si>
  <si>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</si>
  <si>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</si>
  <si>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</si>
  <si>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</si>
  <si>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</si>
  <si>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</si>
  <si>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</si>
  <si>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</si>
  <si>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</si>
  <si>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</si>
  <si>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</si>
  <si>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</si>
  <si>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</si>
  <si>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</si>
  <si>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</si>
  <si>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</si>
  <si>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</si>
  <si>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</si>
  <si>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</si>
  <si>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</si>
  <si>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</si>
  <si>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</si>
  <si>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</si>
  <si>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</si>
  <si>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</si>
  <si>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</si>
  <si>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</si>
  <si>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</si>
  <si>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</si>
  <si>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</si>
  <si>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</si>
  <si>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</si>
  <si>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</si>
  <si>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</si>
  <si>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</si>
  <si>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</si>
  <si>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</si>
  <si>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</si>
  <si>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</si>
  <si>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</si>
  <si>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</si>
  <si>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</si>
  <si>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</si>
  <si>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</si>
  <si>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</si>
  <si>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</si>
  <si>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</si>
  <si>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</si>
  <si>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</si>
  <si>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</si>
  <si>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</si>
  <si>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</si>
  <si>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</si>
  <si>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</si>
  <si>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</si>
  <si>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</si>
  <si>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</si>
  <si>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</si>
  <si>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</si>
  <si>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</si>
  <si>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</si>
  <si>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</si>
  <si>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</si>
  <si>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</si>
  <si>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</si>
  <si>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</si>
  <si>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</si>
  <si>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</si>
  <si>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</si>
  <si>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</si>
  <si>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</si>
  <si>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</si>
  <si>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</si>
  <si>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</si>
  <si>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</si>
  <si>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</si>
  <si>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</si>
  <si>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</si>
  <si>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</si>
  <si>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</si>
  <si>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</si>
  <si>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</si>
  <si>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</si>
  <si>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</si>
  <si>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</si>
  <si>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</si>
  <si>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</si>
  <si>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</si>
  <si>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</si>
  <si>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</si>
  <si>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</si>
  <si>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</si>
  <si>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</si>
  <si>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</si>
  <si>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</si>
  <si>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</si>
  <si>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</si>
  <si>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</si>
  <si>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</si>
  <si>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</si>
  <si>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</si>
  <si>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</si>
  <si>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</si>
  <si>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</si>
  <si>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</si>
  <si>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</si>
  <si>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</si>
  <si>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</si>
  <si>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</si>
  <si>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</si>
  <si>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</si>
  <si>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</si>
  <si>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</si>
  <si>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</si>
  <si>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</si>
  <si>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</si>
  <si>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</si>
  <si>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</si>
  <si>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</si>
  <si>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</si>
  <si>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</si>
  <si>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</si>
  <si>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</si>
  <si>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</si>
  <si>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</si>
  <si>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</si>
  <si>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</si>
  <si>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</si>
  <si>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</si>
  <si>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</si>
  <si>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</si>
  <si>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</si>
  <si>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</si>
  <si>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</si>
  <si>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</si>
  <si>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</si>
  <si>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</si>
  <si>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</si>
  <si>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</si>
  <si>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</si>
  <si>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</si>
  <si>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</si>
  <si>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</si>
  <si>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</si>
  <si>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</si>
  <si>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</si>
  <si>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</si>
  <si>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</si>
  <si>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</si>
  <si>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</si>
  <si>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</si>
  <si>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</si>
  <si>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</si>
  <si>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</si>
  <si>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</si>
  <si>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</si>
  <si>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</si>
  <si>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</si>
  <si>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</si>
  <si>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</si>
  <si>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</si>
  <si>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</si>
  <si>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</si>
  <si>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</si>
  <si>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</si>
  <si>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</si>
  <si>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</si>
  <si>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</si>
  <si>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</si>
  <si>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</si>
  <si>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</si>
  <si>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</si>
  <si>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</si>
  <si>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</si>
  <si>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</si>
  <si>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</si>
  <si>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</si>
  <si>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</si>
  <si>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</si>
  <si>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</si>
  <si>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</si>
  <si>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</si>
  <si>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</si>
  <si>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</si>
  <si>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</si>
  <si>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</si>
  <si>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</si>
  <si>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</si>
  <si>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</si>
  <si>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</si>
  <si>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</si>
  <si>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</si>
  <si>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</si>
  <si>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</si>
  <si>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</si>
  <si>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</si>
  <si>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</si>
  <si>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</si>
  <si>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</si>
  <si>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</si>
  <si>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</si>
  <si>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</si>
  <si>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</si>
  <si>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</si>
  <si>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</si>
  <si>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</si>
  <si>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</si>
  <si>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</si>
  <si>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</si>
  <si>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</si>
  <si>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</si>
  <si>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</si>
  <si>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</si>
  <si>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</si>
  <si>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</si>
  <si>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</si>
  <si>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</si>
  <si>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</si>
  <si>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</si>
  <si>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</si>
  <si>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</si>
  <si>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</si>
  <si>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</si>
  <si>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</si>
  <si>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</si>
  <si>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</si>
  <si>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</si>
  <si>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</si>
  <si>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</si>
  <si>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</si>
  <si>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</si>
  <si>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</si>
  <si>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</si>
  <si>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</si>
  <si>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</si>
  <si>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</si>
  <si>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</si>
  <si>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</si>
  <si>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</si>
  <si>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</si>
  <si>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</si>
  <si>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</si>
  <si>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</si>
  <si>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</si>
  <si>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</si>
  <si>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</si>
  <si>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</si>
  <si>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</si>
  <si>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</si>
  <si>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</si>
  <si>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</si>
  <si>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</si>
  <si>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</si>
  <si>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</si>
  <si>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</si>
  <si>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</si>
  <si>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</si>
  <si>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</si>
  <si>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</si>
  <si>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</si>
  <si>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</si>
  <si>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</si>
  <si>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</si>
  <si>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</si>
  <si>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</si>
  <si>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</si>
  <si>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</si>
  <si>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</si>
  <si>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</si>
  <si>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</si>
  <si>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</si>
  <si>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</si>
  <si>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</si>
  <si>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</si>
  <si>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</si>
  <si>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</si>
  <si>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</si>
  <si>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</si>
  <si>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</si>
  <si>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</si>
  <si>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</si>
  <si>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</si>
  <si>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</si>
  <si>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</si>
  <si>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</si>
  <si>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</si>
  <si>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</si>
  <si>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</si>
  <si>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</si>
  <si>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</si>
  <si>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</si>
  <si>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</si>
  <si>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</si>
  <si>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</si>
  <si>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</si>
  <si>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</si>
  <si>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</si>
  <si>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</si>
  <si>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</si>
  <si>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</si>
  <si>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</si>
  <si>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</si>
  <si>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</si>
  <si>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</si>
  <si>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</si>
  <si>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</si>
  <si>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</si>
  <si>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</si>
  <si>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</si>
  <si>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</si>
  <si>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</si>
  <si>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</si>
  <si>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</si>
  <si>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</si>
  <si>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</si>
  <si>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</si>
  <si>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</si>
  <si>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</si>
  <si>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</si>
  <si>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</si>
  <si>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</si>
  <si>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</si>
  <si>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</si>
  <si>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</si>
  <si>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</si>
  <si>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</si>
  <si>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</si>
  <si>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</si>
  <si>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</si>
  <si>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</si>
  <si>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</si>
  <si>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</si>
  <si>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</si>
  <si>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</si>
  <si>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</si>
  <si>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</si>
  <si>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</si>
  <si>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</si>
  <si>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</si>
  <si>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</si>
  <si>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</si>
  <si>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</si>
  <si>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</si>
  <si>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</si>
  <si>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</si>
  <si>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</si>
  <si>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</si>
  <si>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</si>
  <si>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</si>
  <si>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</si>
  <si>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</si>
  <si>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</si>
  <si>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</si>
  <si>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</si>
  <si>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</si>
  <si>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</si>
  <si>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</si>
  <si>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</si>
  <si>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</si>
  <si>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</si>
  <si>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</si>
  <si>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</si>
  <si>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</si>
  <si>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</si>
  <si>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</si>
  <si>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</si>
  <si>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</si>
  <si>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</si>
  <si>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</si>
  <si>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</si>
  <si>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</si>
  <si>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</si>
  <si>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</si>
  <si>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</si>
  <si>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</si>
  <si>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</si>
  <si>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</si>
  <si>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</si>
  <si>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</si>
  <si>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</si>
  <si>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</si>
  <si>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</si>
  <si>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</si>
  <si>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</si>
  <si>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</si>
  <si>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</si>
  <si>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</si>
  <si>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</si>
  <si>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</si>
  <si>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</si>
  <si>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</si>
  <si>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</si>
  <si>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</si>
  <si>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</si>
  <si>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</si>
  <si>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</si>
  <si>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</si>
  <si>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</si>
  <si>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</si>
  <si>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</si>
  <si>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</si>
  <si>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</si>
  <si>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</si>
  <si>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</si>
  <si>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</si>
  <si>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</si>
  <si>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</si>
  <si>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</si>
  <si>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</si>
  <si>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</si>
  <si>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</si>
  <si>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</si>
  <si>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</si>
  <si>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</si>
  <si>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</si>
  <si>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</si>
  <si>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</si>
  <si>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</si>
  <si>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</si>
  <si>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</si>
  <si>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</si>
  <si>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</si>
  <si>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</si>
  <si>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</si>
  <si>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</si>
  <si>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</si>
  <si>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</si>
  <si>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</si>
  <si>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</si>
  <si>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</si>
  <si>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</si>
  <si>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</si>
  <si>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</si>
  <si>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</si>
  <si>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</si>
  <si>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</si>
  <si>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</si>
  <si>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</si>
  <si>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</si>
  <si>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</si>
  <si>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</si>
  <si>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</si>
  <si>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</si>
  <si>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</si>
  <si>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</si>
  <si>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</si>
  <si>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</si>
  <si>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</si>
  <si>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</si>
  <si>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</si>
  <si>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</si>
  <si>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</si>
  <si>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</si>
  <si>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</si>
  <si>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</si>
  <si>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</si>
  <si>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</si>
  <si>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</si>
  <si>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</si>
  <si>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</si>
  <si>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</si>
  <si>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</si>
  <si>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</si>
  <si>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</si>
  <si>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</si>
  <si>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</si>
  <si>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</si>
  <si>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</si>
  <si>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</si>
  <si>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</si>
  <si>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</si>
  <si>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</si>
  <si>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</si>
  <si>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</si>
  <si>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</si>
  <si>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</si>
  <si>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</si>
  <si>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</si>
  <si>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</si>
  <si>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</si>
  <si>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</si>
  <si>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</si>
  <si>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</si>
  <si>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</si>
  <si>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</si>
  <si>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</si>
  <si>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</si>
  <si>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</si>
  <si>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</si>
  <si>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</si>
  <si>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</si>
  <si>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</si>
  <si>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</si>
  <si>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</si>
  <si>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</si>
  <si>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</si>
  <si>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</si>
  <si>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</si>
  <si>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</si>
  <si>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</si>
  <si>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</si>
  <si>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</si>
  <si>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</si>
  <si>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</si>
  <si>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</si>
  <si>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</si>
  <si>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</si>
  <si>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</si>
  <si>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</si>
  <si>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</si>
  <si>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</si>
  <si>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</si>
  <si>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</si>
  <si>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</si>
  <si>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</si>
  <si>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</si>
  <si>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</si>
  <si>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</si>
  <si>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</si>
  <si>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</si>
  <si>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</si>
  <si>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</si>
  <si>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</si>
  <si>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</si>
  <si>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</si>
  <si>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</si>
  <si>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</si>
  <si>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</si>
  <si>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</si>
  <si>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</si>
  <si>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</si>
  <si>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</si>
  <si>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</si>
  <si>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</si>
  <si>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</si>
  <si>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</si>
  <si>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</si>
  <si>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</si>
  <si>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</si>
  <si>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</si>
  <si>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</si>
  <si>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</si>
  <si>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</si>
  <si>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</si>
  <si>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</si>
  <si>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</si>
  <si>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</si>
  <si>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</si>
  <si>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</si>
  <si>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</si>
  <si>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</si>
  <si>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</si>
  <si>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</si>
  <si>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</si>
  <si>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</si>
  <si>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</si>
  <si>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</si>
  <si>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</si>
  <si>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</si>
  <si>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</si>
  <si>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</si>
  <si>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</si>
  <si>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</si>
  <si>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</si>
  <si>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</si>
  <si>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</si>
  <si>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</si>
  <si>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</si>
  <si>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</si>
  <si>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</si>
  <si>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</si>
  <si>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</si>
  <si>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</si>
  <si>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</si>
  <si>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</si>
  <si>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</si>
  <si>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</si>
  <si>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</si>
  <si>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</si>
  <si>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</si>
  <si>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</si>
  <si>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</si>
  <si>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</si>
  <si>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</si>
  <si>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</si>
  <si>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</si>
  <si>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</si>
  <si>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</si>
  <si>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</si>
  <si>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</si>
  <si>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</si>
  <si>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</si>
  <si>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</si>
  <si>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</si>
  <si>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</si>
  <si>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</si>
  <si>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</si>
  <si>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</si>
  <si>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</si>
  <si>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</si>
  <si>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</si>
  <si>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</si>
  <si>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</si>
  <si>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</si>
  <si>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</si>
  <si>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</si>
  <si>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</si>
  <si>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</si>
  <si>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</si>
  <si>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</si>
  <si>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</si>
  <si>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</si>
  <si>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</si>
  <si>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</si>
  <si>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</si>
  <si>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</si>
  <si>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</si>
  <si>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</si>
  <si>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</si>
  <si>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</si>
  <si>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</si>
  <si>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</si>
  <si>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</si>
  <si>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</si>
  <si>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</si>
  <si>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</si>
  <si>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</si>
  <si>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</si>
  <si>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</si>
  <si>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</si>
  <si>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</si>
  <si>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</si>
  <si>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</si>
  <si>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</si>
  <si>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</si>
  <si>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</si>
  <si>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</si>
  <si>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</si>
  <si>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</si>
  <si>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</si>
  <si>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</si>
  <si>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</si>
  <si>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</si>
  <si>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</si>
  <si>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</si>
  <si>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</si>
  <si>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</si>
  <si>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</si>
  <si>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</si>
  <si>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</si>
  <si>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</si>
  <si>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</si>
  <si>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</si>
  <si>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</si>
  <si>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</si>
  <si>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</si>
  <si>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</si>
  <si>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</si>
  <si>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</si>
  <si>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</si>
  <si>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</si>
  <si>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</si>
  <si>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</si>
  <si>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</si>
  <si>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</si>
  <si>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</si>
  <si>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</si>
  <si>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</si>
  <si>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</si>
  <si>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</si>
  <si>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</si>
  <si>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</si>
  <si>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</si>
  <si>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</si>
  <si>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</si>
  <si>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</si>
  <si>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</si>
  <si>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</si>
  <si>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</si>
  <si>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</si>
  <si>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</si>
  <si>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</si>
  <si>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</si>
  <si>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</si>
  <si>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</si>
  <si>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</si>
  <si>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</si>
  <si>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</si>
  <si>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</si>
  <si>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</si>
  <si>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</si>
  <si>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</si>
  <si>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</si>
  <si>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</si>
  <si>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</si>
  <si>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</si>
  <si>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</si>
  <si>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</si>
  <si>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</si>
  <si>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</si>
  <si>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</si>
  <si>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</si>
  <si>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</si>
  <si>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</si>
  <si>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</si>
  <si>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</si>
  <si>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</si>
  <si>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</si>
  <si>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</si>
  <si>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</si>
  <si>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</si>
  <si>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</si>
  <si>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</si>
  <si>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</si>
  <si>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</si>
  <si>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</si>
  <si>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</si>
  <si>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</si>
  <si>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</si>
  <si>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</si>
  <si>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</si>
  <si>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</si>
  <si>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</si>
  <si>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</si>
  <si>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</si>
  <si>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</si>
  <si>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</si>
  <si>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</si>
  <si>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</si>
  <si>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</si>
  <si>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</si>
  <si>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</si>
  <si>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</si>
  <si>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</si>
  <si>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</si>
  <si>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</si>
  <si>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</si>
  <si>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</si>
  <si>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</si>
  <si>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</si>
  <si>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</si>
  <si>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</si>
  <si>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</si>
  <si>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</si>
  <si>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</si>
  <si>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</si>
  <si>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</si>
  <si>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</si>
  <si>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</si>
  <si>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</si>
  <si>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</si>
  <si>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</si>
  <si>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</si>
  <si>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</si>
  <si>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</si>
  <si>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</si>
  <si>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</si>
  <si>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</si>
  <si>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</si>
  <si>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</si>
  <si>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</si>
  <si>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</si>
  <si>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</si>
  <si>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</si>
  <si>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</si>
  <si>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</si>
  <si>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</si>
  <si>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</si>
  <si>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</si>
  <si>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</si>
  <si>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</si>
  <si>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</si>
  <si>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</si>
  <si>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</si>
  <si>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</si>
  <si>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</si>
  <si>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</si>
  <si>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</si>
  <si>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</si>
  <si>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</si>
  <si>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</si>
  <si>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</si>
  <si>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</si>
  <si>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</si>
  <si>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</si>
  <si>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</si>
  <si>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</si>
  <si>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</si>
  <si>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</si>
  <si>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</si>
  <si>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</si>
  <si>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</si>
  <si>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</si>
  <si>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</si>
  <si>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</si>
  <si>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</si>
  <si>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</si>
  <si>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</si>
  <si>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</si>
  <si>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</si>
  <si>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</si>
  <si>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</si>
  <si>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</si>
  <si>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</si>
  <si>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</si>
  <si>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</si>
  <si>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</si>
  <si>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</si>
  <si>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</si>
  <si>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</si>
  <si>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</si>
  <si>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</si>
  <si>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</si>
  <si>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</si>
  <si>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</si>
  <si>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</si>
  <si>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</si>
  <si>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</si>
  <si>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</si>
  <si>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</si>
  <si>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</si>
  <si>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</si>
  <si>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</si>
  <si>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</si>
  <si>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</si>
  <si>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</si>
  <si>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</si>
  <si>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</si>
  <si>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</si>
  <si>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</si>
  <si>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</si>
  <si>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</si>
  <si>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</si>
  <si>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</si>
  <si>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</si>
  <si>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</si>
  <si>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</si>
  <si>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</si>
  <si>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</si>
  <si>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</si>
  <si>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</si>
  <si>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</si>
  <si>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</si>
  <si>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</si>
  <si>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</si>
  <si>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</si>
  <si>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</si>
  <si>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</si>
  <si>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</si>
  <si>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</si>
  <si>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</si>
  <si>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</si>
  <si>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</si>
  <si>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</si>
  <si>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</si>
  <si>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</si>
  <si>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</si>
  <si>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</si>
  <si>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</si>
  <si>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</si>
  <si>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</si>
  <si>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</si>
  <si>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</si>
  <si>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</si>
  <si>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</si>
  <si>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</si>
  <si>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</si>
  <si>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</si>
  <si>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</si>
  <si>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</si>
  <si>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</si>
  <si>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</si>
  <si>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</si>
  <si>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</si>
  <si>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</si>
  <si>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</si>
  <si>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</si>
  <si>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</si>
  <si>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</si>
  <si>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</si>
  <si>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</si>
  <si>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</si>
  <si>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</si>
  <si>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</si>
  <si>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</si>
  <si>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</si>
  <si>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</si>
  <si>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</si>
  <si>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</si>
  <si>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</si>
  <si>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</si>
  <si>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</si>
  <si>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</si>
  <si>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</si>
  <si>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</si>
  <si>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</si>
  <si>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</si>
  <si>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</si>
  <si>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</si>
  <si>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</si>
  <si>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</si>
  <si>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</si>
  <si>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</si>
  <si>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</si>
  <si>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</si>
  <si>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</si>
  <si>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</si>
  <si>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</si>
  <si>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</si>
  <si>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</si>
  <si>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</si>
  <si>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</si>
  <si>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</si>
  <si>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</si>
  <si>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</si>
  <si>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</si>
  <si>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</si>
  <si>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</si>
  <si>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</si>
  <si>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</si>
  <si>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</si>
  <si>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</si>
  <si>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</si>
  <si>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</si>
  <si>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</si>
  <si>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</si>
  <si>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</si>
  <si>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</si>
  <si>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</si>
  <si>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</si>
  <si>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</si>
  <si>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</si>
  <si>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</si>
  <si>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</si>
  <si>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</si>
  <si>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</si>
  <si>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</si>
  <si>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</si>
  <si>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</si>
  <si>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</si>
  <si>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</si>
  <si>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</si>
  <si>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</si>
  <si>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</si>
  <si>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</si>
  <si>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</si>
  <si>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</si>
  <si>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</si>
  <si>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</si>
  <si>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</si>
  <si>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</si>
  <si>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</si>
  <si>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</si>
  <si>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</si>
  <si>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</si>
  <si>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</si>
  <si>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</si>
  <si>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</si>
  <si>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</si>
  <si>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</si>
  <si>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</si>
  <si>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</si>
  <si>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</si>
  <si>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</si>
  <si>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</si>
  <si>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</si>
  <si>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</si>
  <si>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</si>
  <si>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</si>
  <si>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</si>
  <si>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</si>
  <si>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</si>
  <si>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</si>
  <si>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</si>
  <si>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</si>
  <si>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</si>
  <si>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</si>
  <si>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</si>
  <si>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</si>
  <si>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</si>
  <si>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</si>
  <si>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</si>
  <si>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</si>
  <si>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</si>
  <si>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</si>
  <si>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</si>
  <si>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</si>
  <si>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</si>
  <si>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</si>
  <si>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</si>
  <si>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</si>
  <si>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</si>
  <si>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</si>
  <si>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</si>
  <si>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</si>
  <si>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</si>
  <si>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</si>
  <si>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</si>
  <si>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</si>
  <si>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</si>
  <si>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</si>
  <si>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</si>
  <si>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</si>
  <si>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</si>
  <si>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</si>
  <si>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</si>
  <si>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</si>
  <si>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</si>
  <si>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</si>
  <si>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</si>
  <si>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</si>
  <si>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</si>
  <si>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</si>
  <si>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</si>
  <si>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</si>
  <si>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</si>
  <si>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</si>
  <si>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</si>
  <si>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</si>
  <si>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</si>
  <si>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</si>
  <si>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</si>
  <si>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</si>
  <si>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</si>
  <si>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</si>
  <si>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</si>
  <si>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</si>
  <si>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</si>
  <si>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</si>
  <si>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</si>
  <si>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</si>
  <si>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</si>
  <si>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</si>
  <si>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</si>
  <si>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</si>
  <si>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</si>
  <si>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</si>
  <si>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</si>
  <si>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</si>
  <si>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</si>
  <si>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</si>
  <si>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</si>
  <si>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</si>
  <si>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</si>
  <si>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</si>
  <si>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</si>
  <si>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</si>
  <si>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</si>
  <si>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</si>
  <si>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</si>
  <si>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</si>
  <si>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</si>
  <si>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</si>
  <si>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</si>
  <si>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</si>
  <si>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</si>
  <si>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</si>
  <si>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</si>
  <si>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</si>
  <si>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</si>
  <si>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</si>
  <si>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</si>
  <si>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</si>
  <si>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</si>
  <si>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</si>
  <si>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</si>
  <si>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</si>
  <si>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</si>
  <si>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</si>
  <si>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</si>
  <si>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</si>
  <si>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</si>
  <si>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</si>
  <si>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</si>
  <si>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</si>
  <si>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</si>
  <si>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</si>
  <si>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</si>
  <si>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</si>
  <si>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</si>
  <si>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</si>
  <si>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</si>
  <si>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</si>
  <si>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</si>
  <si>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</si>
  <si>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</si>
  <si>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</si>
  <si>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</si>
  <si>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</si>
  <si>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</si>
  <si>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</si>
  <si>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</si>
  <si>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</si>
  <si>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</si>
  <si>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</si>
  <si>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</si>
  <si>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</si>
  <si>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</si>
  <si>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</si>
  <si>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</si>
  <si>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</si>
  <si>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</si>
  <si>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</si>
  <si>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</si>
  <si>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</si>
  <si>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</si>
  <si>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</si>
  <si>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</si>
  <si>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</si>
  <si>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</si>
  <si>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</si>
  <si>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</si>
  <si>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</si>
  <si>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</si>
  <si>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</si>
  <si>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</si>
  <si>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</si>
  <si>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</si>
  <si>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</si>
  <si>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</si>
  <si>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</si>
  <si>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</si>
  <si>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</si>
  <si>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</si>
  <si>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</si>
  <si>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</si>
  <si>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</si>
  <si>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</si>
  <si>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</si>
  <si>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</si>
  <si>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</si>
  <si>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</si>
  <si>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</si>
  <si>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</si>
  <si>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</si>
  <si>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</si>
  <si>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</si>
  <si>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</si>
  <si>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</si>
  <si>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</si>
  <si>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</si>
  <si>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</si>
  <si>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</si>
  <si>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</si>
  <si>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</si>
  <si>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</si>
  <si>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</si>
  <si>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</si>
  <si>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</si>
  <si>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</si>
  <si>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</si>
  <si>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</si>
  <si>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</si>
  <si>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</si>
  <si>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</si>
  <si>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</si>
  <si>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</si>
  <si>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</si>
  <si>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</si>
  <si>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</si>
  <si>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</si>
  <si>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</si>
  <si>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</si>
  <si>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</si>
  <si>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</si>
  <si>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</si>
  <si>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</si>
  <si>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</si>
  <si>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</si>
  <si>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</si>
  <si>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</si>
  <si>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</si>
  <si>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</si>
  <si>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</si>
  <si>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</si>
  <si>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</si>
  <si>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</si>
  <si>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</si>
  <si>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</si>
  <si>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</si>
  <si>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</si>
  <si>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</si>
  <si>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</si>
  <si>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</si>
  <si>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</si>
  <si>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</si>
  <si>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</si>
  <si>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</si>
  <si>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</si>
  <si>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</si>
  <si>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</si>
  <si>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</si>
  <si>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</si>
  <si>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</si>
  <si>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</si>
  <si>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</si>
  <si>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</si>
  <si>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</si>
  <si>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</si>
  <si>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</si>
  <si>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</si>
  <si>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</si>
  <si>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</si>
  <si>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</si>
  <si>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</si>
  <si>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</si>
  <si>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</si>
  <si>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</si>
  <si>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</si>
  <si>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</si>
  <si>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</si>
  <si>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</si>
  <si>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</si>
  <si>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</si>
  <si>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</si>
  <si>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</si>
  <si>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</si>
  <si>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</si>
  <si>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</si>
  <si>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</si>
  <si>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</si>
  <si>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</si>
  <si>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</si>
  <si>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</si>
  <si>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</si>
  <si>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</si>
  <si>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</si>
  <si>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</si>
  <si>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</si>
  <si>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</si>
  <si>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</si>
  <si>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</si>
  <si>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</si>
  <si>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</si>
  <si>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</si>
  <si>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</si>
  <si>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</si>
  <si>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</si>
  <si>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</si>
  <si>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</si>
  <si>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</si>
  <si>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</si>
  <si>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</si>
  <si>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</si>
  <si>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</si>
  <si>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</si>
  <si>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</si>
  <si>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</si>
  <si>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</si>
  <si>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</si>
  <si>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</si>
  <si>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</si>
  <si>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</si>
  <si>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</si>
  <si>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</si>
  <si>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</si>
  <si>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</si>
  <si>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</si>
  <si>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</si>
  <si>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</si>
  <si>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</si>
  <si>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</si>
  <si>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</si>
  <si>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</si>
  <si>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</si>
  <si>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</si>
  <si>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</si>
  <si>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</si>
  <si>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</si>
  <si>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</si>
  <si>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</si>
  <si>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</si>
  <si>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</si>
  <si>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</si>
  <si>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</si>
  <si>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</si>
  <si>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</si>
  <si>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</si>
  <si>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</si>
  <si>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</si>
  <si>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</si>
  <si>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</si>
  <si>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</si>
  <si>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</si>
  <si>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</si>
  <si>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</si>
  <si>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</si>
  <si>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</si>
  <si>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</si>
  <si>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</si>
  <si>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</si>
  <si>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</si>
  <si>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</si>
  <si>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</si>
  <si>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</si>
  <si>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</si>
  <si>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</si>
  <si>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</si>
  <si>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</si>
  <si>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</si>
  <si>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</si>
  <si>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</si>
  <si>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</si>
  <si>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</si>
  <si>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</si>
  <si>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</si>
  <si>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</si>
  <si>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</si>
  <si>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</si>
  <si>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</si>
  <si>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</si>
  <si>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</si>
  <si>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</si>
  <si>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</si>
  <si>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</si>
  <si>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</si>
  <si>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</si>
  <si>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</si>
  <si>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</si>
  <si>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</si>
  <si>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</si>
  <si>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</si>
  <si>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</si>
  <si>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</si>
  <si>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</si>
  <si>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</si>
  <si>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</si>
  <si>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</si>
  <si>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</si>
  <si>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</si>
  <si>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</si>
  <si>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</si>
  <si>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</si>
  <si>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</si>
  <si>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</si>
  <si>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</si>
  <si>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</si>
  <si>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</si>
  <si>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</si>
  <si>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</si>
  <si>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</si>
  <si>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</si>
  <si>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</si>
  <si>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</si>
  <si>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</si>
  <si>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</si>
  <si>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</si>
  <si>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</si>
  <si>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</si>
  <si>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</si>
  <si>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</si>
  <si>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</si>
  <si>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</si>
  <si>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</si>
  <si>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</si>
  <si>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</si>
  <si>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</si>
  <si>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</si>
  <si>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</si>
  <si>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</si>
  <si>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</si>
  <si>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</si>
  <si>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</si>
  <si>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</si>
  <si>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</si>
  <si>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</si>
  <si>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</si>
  <si>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</si>
  <si>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</si>
  <si>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</si>
  <si>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</si>
  <si>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</si>
  <si>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</si>
  <si>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</si>
  <si>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</si>
  <si>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</si>
  <si>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</si>
  <si>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</si>
  <si>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</si>
  <si>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</si>
  <si>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</si>
  <si>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</si>
  <si>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</si>
  <si>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</si>
  <si>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</si>
  <si>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</si>
  <si>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</si>
  <si>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</si>
  <si>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</si>
  <si>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</si>
  <si>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</si>
  <si>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</si>
  <si>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</si>
  <si>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</si>
  <si>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</si>
  <si>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</si>
  <si>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</si>
  <si>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</si>
  <si>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</si>
  <si>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</si>
  <si>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</si>
  <si>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</si>
  <si>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</si>
  <si>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</si>
  <si>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</si>
  <si>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</si>
  <si>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</si>
  <si>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</si>
  <si>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</si>
  <si>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</si>
  <si>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</si>
  <si>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</si>
  <si>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</si>
  <si>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</si>
  <si>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</si>
  <si>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</si>
  <si>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</si>
  <si>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</si>
  <si>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</si>
  <si>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</si>
  <si>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</si>
  <si>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</si>
  <si>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</si>
  <si>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</si>
  <si>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</si>
  <si>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</si>
  <si>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</si>
  <si>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</si>
  <si>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</si>
  <si>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</si>
  <si>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</si>
  <si>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</si>
  <si>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</si>
  <si>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</si>
  <si>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</si>
  <si>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</si>
  <si>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</si>
  <si>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</si>
  <si>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</si>
  <si>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</si>
  <si>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</si>
  <si>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</si>
  <si>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</si>
  <si>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</si>
  <si>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</si>
  <si>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</si>
  <si>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</si>
  <si>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</si>
  <si>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</si>
  <si>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</si>
  <si>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</si>
  <si>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</si>
  <si>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</si>
  <si>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</si>
  <si>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</si>
  <si>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</si>
  <si>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</si>
  <si>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</si>
  <si>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</si>
  <si>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</si>
  <si>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</si>
  <si>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</si>
  <si>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</si>
  <si>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</si>
  <si>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</si>
  <si>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</si>
  <si>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</si>
  <si>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</si>
  <si>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</si>
  <si>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</si>
  <si>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</si>
  <si>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</si>
  <si>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</si>
  <si>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</si>
  <si>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</si>
  <si>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</si>
  <si>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</si>
  <si>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</si>
  <si>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</si>
  <si>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</si>
  <si>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</si>
  <si>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</si>
  <si>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</si>
  <si>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</si>
  <si>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</si>
  <si>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</si>
  <si>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</si>
  <si>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</si>
  <si>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</si>
  <si>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</si>
  <si>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</si>
  <si>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</si>
  <si>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</si>
  <si>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</si>
  <si>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</si>
  <si>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</si>
  <si>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</si>
  <si>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</si>
  <si>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</si>
  <si>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</si>
  <si>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</si>
  <si>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</si>
  <si>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</si>
  <si>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</si>
  <si>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</si>
  <si>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</si>
  <si>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</si>
  <si>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</si>
  <si>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</si>
  <si>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</si>
  <si>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</si>
  <si>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</si>
  <si>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</si>
  <si>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</si>
  <si>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</si>
  <si>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</si>
  <si>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</si>
  <si>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</si>
  <si>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</si>
  <si>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</si>
  <si>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</si>
  <si>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</si>
  <si>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</si>
  <si>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</si>
  <si>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</si>
  <si>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</si>
  <si>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</si>
  <si>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</si>
  <si>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</si>
  <si>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</si>
  <si>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</si>
  <si>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</si>
  <si>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</si>
  <si>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</si>
  <si>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</si>
  <si>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</si>
  <si>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</si>
  <si>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</si>
  <si>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</si>
  <si>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</si>
  <si>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</si>
  <si>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</si>
  <si>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</si>
  <si>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</si>
  <si>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</si>
  <si>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</si>
  <si>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</si>
  <si>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</si>
  <si>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</si>
  <si>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</si>
  <si>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</si>
  <si>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</si>
  <si>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</si>
  <si>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</si>
  <si>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</si>
  <si>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</si>
  <si>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</si>
  <si>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</si>
  <si>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</si>
  <si>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</si>
  <si>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</si>
  <si>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</si>
  <si>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</si>
  <si>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</si>
  <si>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</si>
  <si>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</si>
  <si>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</si>
  <si>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</si>
  <si>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</si>
  <si>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</si>
  <si>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</si>
  <si>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</si>
  <si>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</si>
  <si>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</si>
  <si>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</si>
  <si>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</si>
  <si>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</si>
  <si>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</si>
  <si>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</si>
  <si>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</si>
  <si>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</si>
  <si>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</si>
  <si>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</si>
  <si>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</si>
  <si>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</si>
  <si>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</si>
  <si>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</si>
  <si>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</si>
  <si>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</si>
  <si>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</si>
  <si>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</si>
  <si>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</si>
  <si>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</si>
  <si>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</si>
  <si>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</si>
  <si>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</si>
  <si>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</si>
  <si>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</si>
  <si>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</si>
  <si>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</si>
  <si>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</si>
  <si>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</si>
  <si>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</si>
  <si>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</si>
  <si>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</si>
  <si>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</si>
  <si>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</si>
  <si>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</si>
  <si>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</si>
  <si>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</si>
  <si>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</si>
  <si>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</si>
  <si>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</si>
  <si>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</si>
  <si>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</si>
  <si>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</si>
  <si>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</si>
  <si>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</si>
  <si>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</si>
  <si>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</si>
  <si>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</si>
  <si>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</si>
  <si>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</si>
  <si>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</si>
  <si>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</si>
  <si>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</si>
  <si>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</si>
  <si>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</si>
  <si>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</si>
  <si>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</si>
  <si>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</si>
  <si>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</si>
  <si>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</si>
  <si>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</si>
  <si>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</si>
  <si>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</si>
  <si>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</si>
  <si>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</si>
  <si>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</si>
  <si>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</si>
  <si>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</si>
  <si>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</si>
  <si>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</si>
  <si>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</si>
  <si>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</si>
  <si>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</si>
  <si>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</si>
  <si>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</si>
  <si>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</si>
  <si>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</si>
  <si>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</si>
  <si>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</si>
  <si>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</si>
  <si>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</si>
  <si>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</si>
  <si>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</si>
  <si>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</si>
  <si>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</si>
  <si>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</si>
  <si>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</si>
  <si>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</si>
  <si>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</si>
  <si>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</si>
  <si>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</si>
  <si>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</si>
  <si>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</si>
  <si>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</si>
  <si>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</si>
  <si>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</si>
  <si>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</si>
  <si>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</si>
  <si>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</si>
  <si>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</si>
  <si>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</si>
  <si>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</si>
  <si>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</si>
  <si>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</si>
  <si>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</si>
  <si>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</si>
  <si>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</si>
  <si>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</si>
  <si>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</si>
  <si>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</si>
  <si>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</si>
  <si>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</si>
  <si>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</si>
  <si>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</si>
  <si>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</si>
  <si>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</si>
  <si>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</si>
  <si>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</si>
  <si>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</si>
  <si>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</si>
  <si>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</si>
  <si>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</si>
  <si>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</si>
  <si>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</si>
  <si>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</si>
  <si>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</si>
  <si>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</si>
  <si>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</si>
  <si>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</si>
  <si>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</si>
  <si>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</si>
  <si>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</si>
  <si>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</si>
  <si>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</si>
  <si>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</si>
  <si>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</si>
  <si>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</si>
  <si>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</si>
  <si>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</si>
  <si>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</si>
  <si>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</si>
  <si>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</si>
  <si>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</si>
  <si>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</si>
  <si>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</si>
  <si>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</si>
  <si>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</si>
  <si>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</si>
  <si>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</si>
  <si>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</si>
  <si>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</si>
  <si>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</si>
  <si>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</si>
  <si>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</si>
  <si>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</si>
  <si>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</si>
  <si>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</si>
  <si>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</si>
  <si>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</si>
  <si>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</si>
  <si>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</si>
  <si>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</si>
  <si>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</si>
  <si>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</si>
  <si>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</si>
  <si>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</si>
  <si>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</si>
  <si>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</si>
  <si>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</si>
  <si>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</si>
  <si>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</si>
  <si>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</si>
  <si>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</si>
  <si>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</si>
  <si>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</si>
  <si>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</si>
  <si>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</si>
  <si>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</si>
  <si>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</si>
  <si>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</si>
  <si>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</si>
  <si>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</si>
  <si>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</si>
  <si>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</si>
  <si>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</si>
  <si>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</si>
  <si>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</si>
  <si>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</si>
  <si>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</si>
  <si>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</si>
  <si>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</si>
  <si>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</si>
  <si>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</si>
  <si>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</si>
  <si>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</si>
  <si>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</si>
  <si>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</si>
  <si>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</si>
  <si>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</si>
  <si>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</si>
  <si>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</si>
  <si>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</si>
  <si>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</si>
  <si>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</si>
  <si>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</si>
  <si>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</si>
  <si>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</si>
  <si>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</si>
  <si>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</si>
  <si>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</si>
  <si>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</si>
  <si>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</si>
  <si>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</si>
  <si>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</si>
  <si>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</si>
  <si>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</si>
  <si>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</si>
  <si>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</si>
  <si>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</si>
  <si>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</si>
  <si>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</si>
  <si>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</si>
  <si>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</si>
  <si>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</si>
  <si>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</si>
  <si>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</si>
  <si>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</si>
  <si>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</si>
  <si>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</si>
  <si>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</si>
  <si>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</si>
  <si>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</si>
  <si>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</si>
  <si>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</si>
  <si>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</si>
  <si>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</si>
  <si>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</si>
  <si>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</si>
  <si>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</si>
  <si>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</si>
  <si>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</si>
  <si>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</si>
  <si>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</si>
  <si>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</si>
  <si>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</si>
  <si>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</si>
  <si>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</si>
  <si>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</si>
  <si>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</si>
  <si>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</si>
  <si>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</si>
  <si>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</si>
  <si>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</si>
  <si>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</si>
  <si>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</si>
  <si>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</si>
  <si>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</si>
  <si>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</si>
  <si>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</si>
  <si>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</si>
  <si>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</si>
  <si>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</si>
  <si>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</si>
  <si>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</si>
  <si>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</si>
  <si>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</si>
  <si>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</si>
  <si>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</si>
  <si>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</si>
  <si>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</si>
  <si>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</si>
  <si>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</si>
  <si>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</si>
  <si>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</si>
  <si>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</si>
  <si>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</si>
  <si>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</si>
  <si>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</si>
  <si>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</si>
  <si>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</si>
  <si>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</si>
  <si>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</si>
  <si>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</si>
  <si>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</si>
  <si>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</si>
  <si>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</si>
  <si>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</si>
  <si>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</si>
  <si>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</si>
  <si>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</si>
  <si>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</si>
  <si>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</si>
  <si>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</si>
  <si>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</si>
  <si>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</si>
  <si>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</si>
  <si>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</si>
  <si>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</si>
  <si>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</si>
  <si>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</si>
  <si>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</si>
  <si>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</si>
  <si>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</si>
  <si>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</si>
  <si>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/>
  </si>
  <si>
    <t>2</t>
  </si>
  <si>
    <t>3</t>
  </si>
  <si>
    <t>220-225VDC</t>
  </si>
  <si>
    <t>4</t>
  </si>
  <si>
    <t>14</t>
  </si>
  <si>
    <t>5</t>
  </si>
  <si>
    <t>6</t>
  </si>
  <si>
    <t>7</t>
  </si>
  <si>
    <t>8</t>
  </si>
  <si>
    <t>9</t>
  </si>
  <si>
    <t>S 202 C 10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</si>
  <si>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</si>
  <si>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</si>
  <si>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</si>
  <si>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</si>
  <si>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</si>
  <si>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</si>
  <si>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</si>
  <si>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</si>
  <si>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</si>
  <si>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Plastic colourless translucent</t>
  </si>
  <si>
    <t>20</t>
  </si>
  <si>
    <t>21</t>
  </si>
  <si>
    <t>22</t>
  </si>
  <si>
    <t>23</t>
  </si>
  <si>
    <t>24</t>
  </si>
  <si>
    <t>25</t>
  </si>
  <si>
    <t>2775016</t>
  </si>
  <si>
    <t>36</t>
  </si>
  <si>
    <t>26</t>
  </si>
  <si>
    <t>Borne interrumpible  por cuchilla</t>
  </si>
  <si>
    <t>3046139</t>
  </si>
  <si>
    <t>60</t>
  </si>
  <si>
    <t>27</t>
  </si>
  <si>
    <t>0311087</t>
  </si>
  <si>
    <t>72</t>
  </si>
  <si>
    <t>28</t>
  </si>
  <si>
    <t>3004524</t>
  </si>
  <si>
    <t>29</t>
  </si>
  <si>
    <t>3044102</t>
  </si>
  <si>
    <t>396</t>
  </si>
  <si>
    <t>30</t>
  </si>
  <si>
    <t>3026366</t>
  </si>
  <si>
    <t>31</t>
  </si>
  <si>
    <t>1201442</t>
  </si>
  <si>
    <t>32</t>
  </si>
  <si>
    <t>3047167</t>
  </si>
  <si>
    <t>33</t>
  </si>
  <si>
    <t>0310211</t>
  </si>
  <si>
    <t>34</t>
  </si>
  <si>
    <t>3003020</t>
  </si>
  <si>
    <t>35</t>
  </si>
  <si>
    <t>3047028</t>
  </si>
  <si>
    <t>37</t>
  </si>
  <si>
    <t>38</t>
  </si>
  <si>
    <t>39</t>
  </si>
  <si>
    <t>40</t>
  </si>
  <si>
    <t>48</t>
  </si>
  <si>
    <t>Cantidad</t>
  </si>
  <si>
    <t>Patch Connector</t>
  </si>
  <si>
    <t>PATCH CONNECTOR</t>
  </si>
  <si>
    <t>80</t>
  </si>
  <si>
    <t>397</t>
  </si>
  <si>
    <t>41</t>
  </si>
  <si>
    <t>54</t>
  </si>
  <si>
    <t>50</t>
  </si>
  <si>
    <t>362</t>
  </si>
  <si>
    <t>42</t>
  </si>
  <si>
    <t>56</t>
  </si>
  <si>
    <t>91</t>
  </si>
  <si>
    <t>64</t>
  </si>
  <si>
    <t>240</t>
  </si>
  <si>
    <t>57</t>
  </si>
  <si>
    <t>90</t>
  </si>
  <si>
    <t>120</t>
  </si>
  <si>
    <t>128</t>
  </si>
  <si>
    <t>74</t>
  </si>
  <si>
    <t>313</t>
  </si>
  <si>
    <t>61</t>
  </si>
  <si>
    <t>300</t>
  </si>
  <si>
    <t>288</t>
  </si>
  <si>
    <t>137</t>
  </si>
  <si>
    <t>312</t>
  </si>
  <si>
    <t>144</t>
  </si>
  <si>
    <t>69</t>
  </si>
  <si>
    <t>150</t>
  </si>
  <si>
    <t>1336</t>
  </si>
  <si>
    <t>287</t>
  </si>
  <si>
    <t>378</t>
  </si>
  <si>
    <t>3245</t>
  </si>
  <si>
    <t>1038</t>
  </si>
  <si>
    <t>248</t>
  </si>
  <si>
    <t>0</t>
  </si>
  <si>
    <t>79</t>
  </si>
  <si>
    <t>43</t>
  </si>
  <si>
    <t>44</t>
  </si>
  <si>
    <t>45</t>
  </si>
  <si>
    <t>46</t>
  </si>
  <si>
    <t>47</t>
  </si>
  <si>
    <t>49</t>
  </si>
  <si>
    <t>51</t>
  </si>
  <si>
    <t>52</t>
  </si>
  <si>
    <t>53</t>
  </si>
  <si>
    <t>55</t>
  </si>
  <si>
    <t>320</t>
  </si>
  <si>
    <t>58</t>
  </si>
  <si>
    <t>582</t>
  </si>
  <si>
    <t>59</t>
  </si>
  <si>
    <t>62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</si>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</sst>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24" fillId="0" borderId="0" xfId="0" applyNumberFormat="1" applyFont="1" applyFill="1" applyBorder="1" applyAlignment="1" applyProtection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3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150"/>
      <c r="D16" s="151"/>
      <c r="E16" s="150"/>
      <c r="F16" s="151"/>
      <c r="G16" s="151"/>
      <c r="H16" s="150"/>
      <c r="I16" s="151"/>
      <c r="J16" s="151"/>
      <c r="K16" s="150"/>
      <c r="L16" s="151"/>
      <c r="M16" s="150"/>
      <c r="N16" s="151"/>
      <c r="O16" s="151"/>
      <c r="P16" s="30"/>
    </row>
    <row r="17" spans="2:16" ht="18" customHeight="1" x14ac:dyDescent="0.2">
      <c r="B17" s="42"/>
      <c r="C17" s="36"/>
      <c r="D17" s="27"/>
      <c r="E17" s="150"/>
      <c r="F17" s="151"/>
      <c r="G17" s="151"/>
      <c r="H17" s="26"/>
      <c r="I17" s="36"/>
      <c r="J17" s="40"/>
      <c r="K17" s="150"/>
      <c r="L17" s="151"/>
      <c r="M17" s="150"/>
      <c r="N17" s="151"/>
      <c r="O17" s="151"/>
      <c r="P17" s="30"/>
    </row>
    <row r="18" spans="2:16" ht="18" customHeight="1" x14ac:dyDescent="0.2">
      <c r="B18" s="42"/>
      <c r="C18" s="36"/>
      <c r="D18" s="27"/>
      <c r="E18" s="150"/>
      <c r="F18" s="151"/>
      <c r="G18" s="151"/>
      <c r="H18" s="26"/>
      <c r="I18" s="36"/>
      <c r="J18" s="40"/>
      <c r="K18" s="150"/>
      <c r="L18" s="151"/>
      <c r="M18" s="150"/>
      <c r="N18" s="151"/>
      <c r="O18" s="151"/>
      <c r="P18" s="30"/>
    </row>
    <row r="19" spans="2:16" ht="18" customHeight="1" x14ac:dyDescent="0.2">
      <c r="B19" s="42"/>
      <c r="C19" s="36"/>
      <c r="D19" s="27"/>
      <c r="E19" s="150"/>
      <c r="F19" s="151"/>
      <c r="G19" s="151"/>
      <c r="H19" s="26"/>
      <c r="I19" s="36"/>
      <c r="J19" s="40"/>
      <c r="K19" s="150"/>
      <c r="L19" s="151"/>
      <c r="M19" s="150"/>
      <c r="N19" s="151"/>
      <c r="O19" s="151"/>
      <c r="P19" s="30"/>
    </row>
    <row r="20" spans="2:16" ht="18" customHeight="1" x14ac:dyDescent="0.2">
      <c r="B20" s="42"/>
      <c r="C20" s="36"/>
      <c r="D20" s="27"/>
      <c r="E20" s="150"/>
      <c r="F20" s="151"/>
      <c r="G20" s="151"/>
      <c r="H20" s="26"/>
      <c r="I20" s="36"/>
      <c r="J20" s="40"/>
      <c r="K20" s="150"/>
      <c r="L20" s="151"/>
      <c r="M20" s="150"/>
      <c r="N20" s="151"/>
      <c r="O20" s="151"/>
      <c r="P20" s="30"/>
    </row>
    <row r="21" spans="2:16" ht="18" customHeight="1" x14ac:dyDescent="0.2">
      <c r="B21" s="42"/>
      <c r="C21" s="36"/>
      <c r="D21" s="27"/>
      <c r="E21" s="150"/>
      <c r="F21" s="151"/>
      <c r="G21" s="151"/>
      <c r="H21" s="26"/>
      <c r="I21" s="36"/>
      <c r="J21" s="40"/>
      <c r="K21" s="150"/>
      <c r="L21" s="151"/>
      <c r="M21" s="150"/>
      <c r="N21" s="151"/>
      <c r="O21" s="151"/>
      <c r="P21" s="30"/>
    </row>
    <row r="22" spans="2:16" ht="18" customHeight="1" x14ac:dyDescent="0.2">
      <c r="B22" s="42"/>
      <c r="C22" s="36"/>
      <c r="D22" s="27"/>
      <c r="E22" s="150"/>
      <c r="F22" s="151"/>
      <c r="G22" s="151"/>
      <c r="H22" s="26"/>
      <c r="I22" s="36"/>
      <c r="J22" s="40"/>
      <c r="K22" s="150"/>
      <c r="L22" s="151"/>
      <c r="M22" s="150"/>
      <c r="N22" s="151"/>
      <c r="O22" s="151"/>
      <c r="P22" s="30"/>
    </row>
    <row r="23" spans="2:16" ht="18" customHeight="1" x14ac:dyDescent="0.2">
      <c r="B23" s="42"/>
      <c r="C23" s="36"/>
      <c r="D23" s="27"/>
      <c r="E23" s="150"/>
      <c r="F23" s="151"/>
      <c r="G23" s="151"/>
      <c r="H23" s="26"/>
      <c r="I23" s="36"/>
      <c r="J23" s="40"/>
      <c r="K23" s="150"/>
      <c r="L23" s="151"/>
      <c r="M23" s="150"/>
      <c r="N23" s="151"/>
      <c r="O23" s="151"/>
      <c r="P23" s="30"/>
    </row>
    <row r="24" spans="2:16" ht="18" customHeight="1" x14ac:dyDescent="0.2">
      <c r="B24" s="42"/>
      <c r="C24" s="36"/>
      <c r="D24" s="27"/>
      <c r="E24" s="150"/>
      <c r="F24" s="151"/>
      <c r="G24" s="151"/>
      <c r="H24" s="26"/>
      <c r="I24" s="36"/>
      <c r="J24" s="40"/>
      <c r="K24" s="150"/>
      <c r="L24" s="151"/>
      <c r="M24" s="150"/>
      <c r="N24" s="151"/>
      <c r="O24" s="151"/>
      <c r="P24" s="30"/>
    </row>
    <row r="25" spans="2:16" ht="18" customHeight="1" x14ac:dyDescent="0.2">
      <c r="B25" s="42"/>
      <c r="C25" s="36"/>
      <c r="D25" s="27"/>
      <c r="E25" s="150"/>
      <c r="F25" s="151"/>
      <c r="G25" s="151"/>
      <c r="H25" s="26"/>
      <c r="I25" s="36"/>
      <c r="J25" s="40"/>
      <c r="K25" s="150"/>
      <c r="L25" s="151"/>
      <c r="M25" s="150"/>
      <c r="N25" s="151"/>
      <c r="O25" s="151"/>
      <c r="P25" s="30"/>
    </row>
    <row r="26" spans="2:16" ht="18" customHeight="1" x14ac:dyDescent="0.2">
      <c r="B26" s="42"/>
      <c r="C26" s="36"/>
      <c r="D26" s="27"/>
      <c r="E26" s="150"/>
      <c r="F26" s="151"/>
      <c r="G26" s="151"/>
      <c r="H26" s="26"/>
      <c r="I26" s="36"/>
      <c r="J26" s="40"/>
      <c r="K26" s="150"/>
      <c r="L26" s="151"/>
      <c r="M26" s="150"/>
      <c r="N26" s="151"/>
      <c r="O26" s="151"/>
      <c r="P26" s="30"/>
    </row>
    <row r="27" spans="2:16" ht="18" customHeight="1" x14ac:dyDescent="0.2">
      <c r="B27" s="42"/>
      <c r="C27" s="36"/>
      <c r="D27" s="36"/>
      <c r="E27" s="150"/>
      <c r="F27" s="151"/>
      <c r="G27" s="151"/>
      <c r="H27" s="26"/>
      <c r="I27" s="36"/>
      <c r="J27" s="40"/>
      <c r="K27" s="150"/>
      <c r="L27" s="151"/>
      <c r="M27" s="150"/>
      <c r="N27" s="151"/>
      <c r="O27" s="151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134"/>
      <c r="B42" s="1"/>
      <c r="C42" s="136"/>
      <c r="D42" s="136"/>
      <c r="E42" s="136"/>
      <c r="F42" s="136"/>
      <c r="G42" s="137"/>
      <c r="H42" s="137"/>
      <c r="I42" s="138"/>
      <c r="J42" s="139"/>
      <c r="K42" s="131"/>
      <c r="L42" s="133"/>
      <c r="M42" s="131"/>
      <c r="N42" s="133"/>
      <c r="O42" s="131"/>
      <c r="P42" s="132"/>
    </row>
    <row r="43" spans="1:16" ht="18" customHeight="1" x14ac:dyDescent="0.2">
      <c r="A43" s="135"/>
      <c r="B43" s="62"/>
      <c r="C43" s="127"/>
      <c r="D43" s="127"/>
      <c r="E43" s="127"/>
      <c r="F43" s="127"/>
      <c r="G43" s="128"/>
      <c r="H43" s="128"/>
      <c r="I43" s="129"/>
      <c r="J43" s="130"/>
      <c r="K43" s="125"/>
      <c r="L43" s="126"/>
      <c r="M43" s="125"/>
      <c r="N43" s="126"/>
      <c r="O43" s="125"/>
      <c r="P43" s="121"/>
    </row>
    <row r="44" spans="1:16" ht="18" customHeight="1" x14ac:dyDescent="0.2">
      <c r="A44" s="135"/>
      <c r="B44" s="62"/>
      <c r="C44" s="127"/>
      <c r="D44" s="127"/>
      <c r="E44" s="127"/>
      <c r="F44" s="127"/>
      <c r="G44" s="127"/>
      <c r="H44" s="128"/>
      <c r="I44" s="140"/>
      <c r="J44" s="130"/>
      <c r="K44" s="125"/>
      <c r="L44" s="126"/>
      <c r="M44" s="125"/>
      <c r="N44" s="126"/>
      <c r="O44" s="125"/>
      <c r="P44" s="121"/>
    </row>
    <row r="45" spans="1:16" ht="18" customHeight="1" x14ac:dyDescent="0.2">
      <c r="A45" s="135"/>
      <c r="B45" s="8"/>
      <c r="C45" s="127"/>
      <c r="D45" s="127"/>
      <c r="E45" s="127"/>
      <c r="F45" s="127"/>
      <c r="G45" s="128"/>
      <c r="H45" s="128"/>
      <c r="I45" s="129"/>
      <c r="J45" s="130"/>
      <c r="K45" s="125"/>
      <c r="L45" s="126"/>
      <c r="M45" s="125"/>
      <c r="N45" s="126"/>
      <c r="O45" s="125"/>
      <c r="P45" s="121"/>
    </row>
    <row r="46" spans="1:16" ht="18" customHeight="1" x14ac:dyDescent="0.2">
      <c r="A46" s="135"/>
      <c r="B46" s="8"/>
      <c r="C46" s="127"/>
      <c r="D46" s="127"/>
      <c r="E46" s="127"/>
      <c r="F46" s="127"/>
      <c r="G46" s="128"/>
      <c r="H46" s="128"/>
      <c r="I46" s="129"/>
      <c r="J46" s="130"/>
      <c r="K46" s="120"/>
      <c r="L46" s="126"/>
      <c r="M46" s="120"/>
      <c r="N46" s="126"/>
      <c r="O46" s="120"/>
      <c r="P46" s="121"/>
    </row>
    <row r="47" spans="1:16" ht="18" customHeight="1" x14ac:dyDescent="0.2">
      <c r="A47" s="135"/>
      <c r="B47" s="28" t="s">
        <v>7</v>
      </c>
      <c r="C47" s="55" t="s">
        <v>9</v>
      </c>
      <c r="D47" s="55"/>
      <c r="E47" s="55"/>
      <c r="F47" s="44"/>
      <c r="G47" s="122" t="s">
        <v>15</v>
      </c>
      <c r="H47" s="123"/>
      <c r="I47" s="122" t="s">
        <v>6</v>
      </c>
      <c r="J47" s="123"/>
      <c r="K47" s="122" t="s">
        <v>18</v>
      </c>
      <c r="L47" s="123"/>
      <c r="M47" s="122" t="s">
        <v>16</v>
      </c>
      <c r="N47" s="123"/>
      <c r="O47" s="122" t="s">
        <v>1</v>
      </c>
      <c r="P47" s="124"/>
    </row>
    <row r="48" spans="1:16" ht="18" customHeight="1" thickBot="1" x14ac:dyDescent="0.25">
      <c r="A48" s="135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135"/>
      <c r="B49" s="141" t="s">
        <v>2</v>
      </c>
      <c r="C49" s="142"/>
      <c r="D49" s="142"/>
      <c r="E49" s="143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135"/>
      <c r="B50" s="144"/>
      <c r="C50" s="145"/>
      <c r="D50" s="145"/>
      <c r="E50" s="146"/>
      <c r="F50" s="117"/>
      <c r="G50" s="118"/>
      <c r="H50" s="118"/>
      <c r="I50" s="118"/>
      <c r="J50" s="118"/>
      <c r="K50" s="118"/>
      <c r="L50" s="118"/>
      <c r="M50" s="118"/>
      <c r="N50" s="118"/>
      <c r="O50" s="118"/>
      <c r="P50" s="119"/>
    </row>
    <row r="51" spans="1:20" ht="18" customHeight="1" thickBot="1" x14ac:dyDescent="0.25">
      <c r="A51" s="135"/>
      <c r="B51" s="147"/>
      <c r="C51" s="148"/>
      <c r="D51" s="148"/>
      <c r="E51" s="149"/>
      <c r="F51" s="117"/>
      <c r="G51" s="118"/>
      <c r="H51" s="118"/>
      <c r="I51" s="118"/>
      <c r="J51" s="118"/>
      <c r="K51" s="118"/>
      <c r="L51" s="118"/>
      <c r="M51" s="118"/>
      <c r="N51" s="118"/>
      <c r="O51" s="118"/>
      <c r="P51" s="119"/>
    </row>
    <row r="52" spans="1:20" ht="15" customHeight="1" thickTop="1" x14ac:dyDescent="0.2">
      <c r="A52" s="135"/>
      <c r="B52" s="6"/>
      <c r="C52" s="112" t="s">
        <v>14</v>
      </c>
      <c r="D52" s="113"/>
      <c r="E52" s="89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135"/>
      <c r="B53" s="46"/>
      <c r="C53" s="114"/>
      <c r="D53" s="115"/>
      <c r="E53" s="116"/>
      <c r="F53" s="117" t="s">
        <v>24</v>
      </c>
      <c r="G53" s="118"/>
      <c r="H53" s="118"/>
      <c r="I53" s="118"/>
      <c r="J53" s="118"/>
      <c r="K53" s="118"/>
      <c r="L53" s="118"/>
      <c r="M53" s="118"/>
      <c r="N53" s="118"/>
      <c r="O53" s="118"/>
      <c r="P53" s="119"/>
    </row>
    <row r="54" spans="1:20" ht="15" customHeight="1" x14ac:dyDescent="0.2">
      <c r="A54" s="135"/>
      <c r="B54" s="98" t="s">
        <v>6</v>
      </c>
      <c r="C54" s="100"/>
      <c r="D54" s="101"/>
      <c r="E54" s="104"/>
      <c r="F54" s="117"/>
      <c r="G54" s="118"/>
      <c r="H54" s="118"/>
      <c r="I54" s="118"/>
      <c r="J54" s="118"/>
      <c r="K54" s="118"/>
      <c r="L54" s="118"/>
      <c r="M54" s="118"/>
      <c r="N54" s="118"/>
      <c r="O54" s="118"/>
      <c r="P54" s="119"/>
    </row>
    <row r="55" spans="1:20" ht="15" customHeight="1" x14ac:dyDescent="0.2">
      <c r="A55" s="135"/>
      <c r="B55" s="99"/>
      <c r="C55" s="102"/>
      <c r="D55" s="103"/>
      <c r="E55" s="105"/>
      <c r="F55" s="117"/>
      <c r="G55" s="118"/>
      <c r="H55" s="118"/>
      <c r="I55" s="118"/>
      <c r="J55" s="118"/>
      <c r="K55" s="118"/>
      <c r="L55" s="118"/>
      <c r="M55" s="118"/>
      <c r="N55" s="118"/>
      <c r="O55" s="118"/>
      <c r="P55" s="119"/>
    </row>
    <row r="56" spans="1:20" ht="15" customHeight="1" x14ac:dyDescent="0.2">
      <c r="A56" s="135"/>
      <c r="B56" s="98" t="s">
        <v>18</v>
      </c>
      <c r="C56" s="100"/>
      <c r="D56" s="101"/>
      <c r="E56" s="104"/>
      <c r="F56" s="117"/>
      <c r="G56" s="118"/>
      <c r="H56" s="118"/>
      <c r="I56" s="118"/>
      <c r="J56" s="118"/>
      <c r="K56" s="118"/>
      <c r="L56" s="118"/>
      <c r="M56" s="118"/>
      <c r="N56" s="118"/>
      <c r="O56" s="118"/>
      <c r="P56" s="119"/>
    </row>
    <row r="57" spans="1:20" ht="15" customHeight="1" x14ac:dyDescent="0.2">
      <c r="A57" s="135"/>
      <c r="B57" s="99"/>
      <c r="C57" s="102"/>
      <c r="D57" s="103"/>
      <c r="E57" s="10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135"/>
      <c r="B58" s="98" t="s">
        <v>16</v>
      </c>
      <c r="C58" s="100"/>
      <c r="D58" s="101"/>
      <c r="E58" s="104"/>
      <c r="F58" s="106"/>
      <c r="G58" s="107"/>
      <c r="H58" s="107"/>
      <c r="I58" s="107"/>
      <c r="J58" s="107"/>
      <c r="K58" s="107"/>
      <c r="L58" s="107"/>
      <c r="M58" s="107"/>
      <c r="N58" s="107"/>
      <c r="O58" s="107"/>
      <c r="P58" s="108"/>
    </row>
    <row r="59" spans="1:20" ht="15" customHeight="1" x14ac:dyDescent="0.2">
      <c r="A59" s="135"/>
      <c r="B59" s="99"/>
      <c r="C59" s="102"/>
      <c r="D59" s="103"/>
      <c r="E59" s="10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135"/>
      <c r="B60" s="98" t="s">
        <v>1</v>
      </c>
      <c r="C60" s="100"/>
      <c r="D60" s="101"/>
      <c r="E60" s="104"/>
      <c r="F60" s="106"/>
      <c r="G60" s="107"/>
      <c r="H60" s="107"/>
      <c r="I60" s="107"/>
      <c r="J60" s="107"/>
      <c r="K60" s="107"/>
      <c r="L60" s="107"/>
      <c r="M60" s="107"/>
      <c r="N60" s="107"/>
      <c r="O60" s="107"/>
      <c r="P60" s="108"/>
    </row>
    <row r="61" spans="1:20" ht="15" customHeight="1" thickBot="1" x14ac:dyDescent="0.25">
      <c r="A61" s="135"/>
      <c r="B61" s="109"/>
      <c r="C61" s="110"/>
      <c r="D61" s="111"/>
      <c r="E61" s="10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135"/>
      <c r="B62" s="54" t="s">
        <v>5</v>
      </c>
      <c r="C62" s="66"/>
      <c r="D62" s="37"/>
      <c r="E62" s="22"/>
      <c r="F62" s="45" t="s">
        <v>11</v>
      </c>
      <c r="G62" s="87" t="s">
        <v>8</v>
      </c>
      <c r="H62" s="88"/>
      <c r="I62" s="89"/>
      <c r="J62" s="87" t="s">
        <v>21</v>
      </c>
      <c r="K62" s="88"/>
      <c r="L62" s="88"/>
      <c r="M62" s="88"/>
      <c r="N62" s="89"/>
      <c r="O62" s="87" t="s">
        <v>7</v>
      </c>
      <c r="P62" s="89"/>
    </row>
    <row r="63" spans="1:20" ht="18" customHeight="1" thickBot="1" x14ac:dyDescent="0.25">
      <c r="A63" s="135"/>
      <c r="B63" s="16"/>
      <c r="C63" s="90"/>
      <c r="D63" s="90"/>
      <c r="E63" s="91"/>
      <c r="F63" s="35" t="s">
        <v>17</v>
      </c>
      <c r="G63" s="92" t="s">
        <v>14990</v>
      </c>
      <c r="H63" s="93"/>
      <c r="I63" s="94"/>
      <c r="J63" s="95" t="s">
        <v>4</v>
      </c>
      <c r="K63" s="96"/>
      <c r="L63" s="96"/>
      <c r="M63" s="96"/>
      <c r="N63" s="97"/>
      <c r="O63" s="92" t="s">
        <v>1797</v>
      </c>
      <c r="P63" s="94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975"/>
  <sheetViews>
    <sheetView tabSelected="1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2343</v>
      </c>
      <c r="C2" s="72" t="s">
        <v>2344</v>
      </c>
      <c r="D2" s="72" t="s">
        <v>2345</v>
      </c>
      <c r="E2" s="72" t="s">
        <v>2330</v>
      </c>
      <c r="F2" s="72" t="s">
        <v>508</v>
      </c>
      <c r="G2" s="72" t="s">
        <v>506</v>
      </c>
      <c r="H2" s="72">
        <v>17</v>
      </c>
      <c r="I2" s="72">
        <v>15</v>
      </c>
      <c r="J2" s="74">
        <f t="shared" ref="J2:J40" si="0">IF(OR(H2&lt;0,H2=""), "",I2-H2)</f>
        <v>-2</v>
      </c>
      <c r="K2" s="72"/>
      <c r="L2" s="72"/>
      <c r="M2" s="72" t="s">
        <v>15016</v>
      </c>
      <c r="N2" s="74">
        <f t="shared" ref="N2:N6" si="1">IF(OR(M2&lt;0,M2=""), "",I2-M2)</f>
        <v>-5</v>
      </c>
    </row>
    <row r="3" spans="1:14" ht="14.45" customHeight="1" x14ac:dyDescent="0.2">
      <c r="A3" s="72" t="s">
        <v>14995</v>
      </c>
      <c r="B3" s="72" t="s">
        <v>1396</v>
      </c>
      <c r="C3" s="72" t="s">
        <v>1398</v>
      </c>
      <c r="D3" s="72"/>
      <c r="E3" s="72"/>
      <c r="F3" s="72" t="s">
        <v>395</v>
      </c>
      <c r="G3" s="72" t="s">
        <v>15029</v>
      </c>
      <c r="H3" s="72">
        <v>11</v>
      </c>
      <c r="I3" s="72">
        <v>9</v>
      </c>
      <c r="J3" s="74">
        <f t="shared" si="0"/>
        <v>-2</v>
      </c>
      <c r="K3" s="72"/>
      <c r="L3" s="72"/>
      <c r="M3" s="72" t="s">
        <v>15081</v>
      </c>
      <c r="N3" s="74">
        <f t="shared" si="1"/>
        <v>-1327</v>
      </c>
    </row>
    <row r="4" spans="1:14" ht="14.45" customHeight="1" x14ac:dyDescent="0.2">
      <c r="A4" s="72" t="s">
        <v>14996</v>
      </c>
      <c r="B4" s="72" t="s">
        <v>14316</v>
      </c>
      <c r="C4" s="72" t="s">
        <v>14317</v>
      </c>
      <c r="D4" s="72"/>
      <c r="E4" s="72"/>
      <c r="F4" s="72" t="s">
        <v>395</v>
      </c>
      <c r="G4" s="72" t="s">
        <v>15039</v>
      </c>
      <c r="H4" s="72">
        <v>40</v>
      </c>
      <c r="I4" s="72">
        <v>38</v>
      </c>
      <c r="J4" s="74">
        <f t="shared" si="0"/>
        <v>-2</v>
      </c>
      <c r="K4" s="72"/>
      <c r="L4" s="72"/>
      <c r="M4" s="72" t="s">
        <v>15082</v>
      </c>
      <c r="N4" s="74">
        <f t="shared" si="1"/>
        <v>-249</v>
      </c>
    </row>
    <row r="5" spans="1:14" ht="14.45" customHeight="1" x14ac:dyDescent="0.2">
      <c r="A5" s="72" t="s">
        <v>14998</v>
      </c>
      <c r="B5" s="72" t="s">
        <v>699</v>
      </c>
      <c r="C5" s="72" t="s">
        <v>798</v>
      </c>
      <c r="D5" s="72" t="s">
        <v>760</v>
      </c>
      <c r="E5" s="72" t="s">
        <v>728</v>
      </c>
      <c r="F5" s="72" t="s">
        <v>35</v>
      </c>
      <c r="G5" s="72" t="s">
        <v>803</v>
      </c>
      <c r="H5" s="72">
        <v>6</v>
      </c>
      <c r="I5" s="72">
        <v>4</v>
      </c>
      <c r="J5" s="74">
        <f t="shared" si="0"/>
        <v>-2</v>
      </c>
      <c r="K5" s="72"/>
      <c r="L5" s="72"/>
      <c r="M5" s="72" t="s">
        <v>15062</v>
      </c>
      <c r="N5" s="74">
        <f t="shared" si="1"/>
        <v>-38</v>
      </c>
    </row>
    <row r="6" spans="1:14" ht="14.45" customHeight="1" x14ac:dyDescent="0.2">
      <c r="A6" s="72" t="s">
        <v>15000</v>
      </c>
      <c r="B6" s="72" t="s">
        <v>699</v>
      </c>
      <c r="C6" s="72" t="s">
        <v>798</v>
      </c>
      <c r="D6" s="72" t="s">
        <v>14997</v>
      </c>
      <c r="E6" s="72" t="s">
        <v>728</v>
      </c>
      <c r="F6" s="72" t="s">
        <v>35</v>
      </c>
      <c r="G6" s="72" t="s">
        <v>817</v>
      </c>
      <c r="H6" s="72">
        <v>7</v>
      </c>
      <c r="I6" s="72">
        <v>5</v>
      </c>
      <c r="J6" s="74">
        <f t="shared" si="0"/>
        <v>-2</v>
      </c>
      <c r="K6" s="72"/>
      <c r="L6" s="72"/>
      <c r="M6" s="72" t="s">
        <v>15010</v>
      </c>
      <c r="N6" s="74">
        <f t="shared" si="1"/>
        <v>-10</v>
      </c>
    </row>
    <row r="7" spans="1:14" ht="14.45" customHeight="1" x14ac:dyDescent="0.2">
      <c r="A7" s="72" t="s">
        <v>15001</v>
      </c>
      <c r="B7" s="72" t="s">
        <v>14750</v>
      </c>
      <c r="C7" s="72" t="s">
        <v>14759</v>
      </c>
      <c r="D7" s="72"/>
      <c r="E7" s="72" t="s">
        <v>14752</v>
      </c>
      <c r="F7" s="72" t="s">
        <v>35</v>
      </c>
      <c r="G7" s="72" t="s">
        <v>14760</v>
      </c>
      <c r="H7" s="72">
        <v>41</v>
      </c>
      <c r="I7" s="72">
        <v>39</v>
      </c>
      <c r="J7" s="74">
        <f t="shared" si="0"/>
        <v>-2</v>
      </c>
      <c r="K7" s="72"/>
      <c r="L7" s="72"/>
      <c r="M7" s="72" t="s">
        <v>14995</v>
      </c>
      <c r="N7" s="74">
        <f t="shared" ref="N7:N41" si="2">IF(OR(M7&lt;0,M7=""), "",I7-M7)</f>
        <v>37</v>
      </c>
    </row>
    <row r="8" spans="1:14" ht="14.45" customHeight="1" x14ac:dyDescent="0.2">
      <c r="A8" s="72" t="s">
        <v>15002</v>
      </c>
      <c r="B8" s="72" t="s">
        <v>10469</v>
      </c>
      <c r="C8" s="72" t="s">
        <v>10532</v>
      </c>
      <c r="D8" s="72"/>
      <c r="E8" s="72"/>
      <c r="F8" s="72" t="s">
        <v>35</v>
      </c>
      <c r="G8" s="72" t="s">
        <v>10533</v>
      </c>
      <c r="H8" s="72">
        <v>23</v>
      </c>
      <c r="I8" s="72">
        <v>21</v>
      </c>
      <c r="J8" s="74">
        <f t="shared" si="0"/>
        <v>-2</v>
      </c>
      <c r="K8" s="72"/>
      <c r="L8" s="72"/>
      <c r="M8" s="72" t="s">
        <v>15003</v>
      </c>
      <c r="N8" s="74">
        <f t="shared" si="2"/>
        <v>13</v>
      </c>
    </row>
    <row r="9" spans="1:14" ht="14.45" customHeight="1" x14ac:dyDescent="0.2">
      <c r="A9" s="72" t="s">
        <v>15003</v>
      </c>
      <c r="B9" s="72" t="s">
        <v>10573</v>
      </c>
      <c r="C9" s="72" t="s">
        <v>10587</v>
      </c>
      <c r="D9" s="72"/>
      <c r="E9" s="72"/>
      <c r="F9" s="72" t="s">
        <v>35</v>
      </c>
      <c r="G9" s="72" t="s">
        <v>10588</v>
      </c>
      <c r="H9" s="72">
        <v>24</v>
      </c>
      <c r="I9" s="72">
        <v>22</v>
      </c>
      <c r="J9" s="74">
        <f t="shared" si="0"/>
        <v>-2</v>
      </c>
      <c r="K9" s="72"/>
      <c r="L9" s="72"/>
      <c r="M9" s="72" t="s">
        <v>14998</v>
      </c>
      <c r="N9" s="74">
        <f t="shared" si="2"/>
        <v>18</v>
      </c>
    </row>
    <row r="10" spans="1:14" ht="14.45" customHeight="1" x14ac:dyDescent="0.2">
      <c r="A10" s="72" t="s">
        <v>15004</v>
      </c>
      <c r="B10" s="72" t="s">
        <v>10594</v>
      </c>
      <c r="C10" s="72" t="s">
        <v>10607</v>
      </c>
      <c r="D10" s="72"/>
      <c r="E10" s="72"/>
      <c r="F10" s="72" t="s">
        <v>35</v>
      </c>
      <c r="G10" s="72" t="s">
        <v>10608</v>
      </c>
      <c r="H10" s="72">
        <v>25</v>
      </c>
      <c r="I10" s="72">
        <v>23</v>
      </c>
      <c r="J10" s="74">
        <f t="shared" si="0"/>
        <v>-2</v>
      </c>
      <c r="K10" s="72"/>
      <c r="L10" s="72"/>
      <c r="M10" s="72" t="s">
        <v>15001</v>
      </c>
      <c r="N10" s="74">
        <f t="shared" si="2"/>
        <v>17</v>
      </c>
    </row>
    <row r="11" spans="1:14" ht="14.45" customHeight="1" x14ac:dyDescent="0.2">
      <c r="A11" s="72" t="s">
        <v>15006</v>
      </c>
      <c r="B11" s="72" t="s">
        <v>520</v>
      </c>
      <c r="C11" s="72" t="s">
        <v>644</v>
      </c>
      <c r="D11" s="72" t="s">
        <v>645</v>
      </c>
      <c r="E11" s="72" t="s">
        <v>646</v>
      </c>
      <c r="F11" s="72" t="s">
        <v>35</v>
      </c>
      <c r="G11" s="72" t="s">
        <v>647</v>
      </c>
      <c r="H11" s="72">
        <v>5</v>
      </c>
      <c r="I11" s="72">
        <v>3</v>
      </c>
      <c r="J11" s="74">
        <f t="shared" si="0"/>
        <v>-2</v>
      </c>
      <c r="K11" s="72"/>
      <c r="L11" s="72"/>
      <c r="M11" s="72" t="s">
        <v>15019</v>
      </c>
      <c r="N11" s="74">
        <f t="shared" si="2"/>
        <v>-20</v>
      </c>
    </row>
    <row r="12" spans="1:14" ht="14.45" customHeight="1" x14ac:dyDescent="0.2">
      <c r="A12" s="72" t="s">
        <v>15007</v>
      </c>
      <c r="B12" s="72" t="s">
        <v>13085</v>
      </c>
      <c r="C12" s="72" t="s">
        <v>13099</v>
      </c>
      <c r="D12" s="72" t="s">
        <v>13094</v>
      </c>
      <c r="E12" s="72" t="s">
        <v>13097</v>
      </c>
      <c r="F12" s="72" t="s">
        <v>35</v>
      </c>
      <c r="G12" s="72" t="s">
        <v>13100</v>
      </c>
      <c r="H12" s="72">
        <v>31</v>
      </c>
      <c r="I12" s="72">
        <v>29</v>
      </c>
      <c r="J12" s="74">
        <f t="shared" si="0"/>
        <v>-2</v>
      </c>
      <c r="K12" s="72"/>
      <c r="L12" s="72"/>
      <c r="M12" s="72" t="s">
        <v>15017</v>
      </c>
      <c r="N12" s="74">
        <f t="shared" si="2"/>
        <v>8</v>
      </c>
    </row>
    <row r="13" spans="1:14" ht="14.45" customHeight="1" x14ac:dyDescent="0.2">
      <c r="A13" s="72" t="s">
        <v>15008</v>
      </c>
      <c r="B13" s="72" t="s">
        <v>13085</v>
      </c>
      <c r="C13" s="72" t="s">
        <v>13096</v>
      </c>
      <c r="D13" s="72" t="s">
        <v>13094</v>
      </c>
      <c r="E13" s="72" t="s">
        <v>13097</v>
      </c>
      <c r="F13" s="72" t="s">
        <v>35</v>
      </c>
      <c r="G13" s="72" t="s">
        <v>13098</v>
      </c>
      <c r="H13" s="72">
        <v>30</v>
      </c>
      <c r="I13" s="72">
        <v>28</v>
      </c>
      <c r="J13" s="74">
        <f t="shared" si="0"/>
        <v>-2</v>
      </c>
      <c r="K13" s="72"/>
      <c r="L13" s="72"/>
      <c r="M13" s="72" t="s">
        <v>15011</v>
      </c>
      <c r="N13" s="74">
        <f t="shared" si="2"/>
        <v>12</v>
      </c>
    </row>
    <row r="14" spans="1:14" ht="14.45" customHeight="1" x14ac:dyDescent="0.2">
      <c r="A14" s="72" t="s">
        <v>15009</v>
      </c>
      <c r="B14" s="72" t="s">
        <v>13085</v>
      </c>
      <c r="C14" s="72" t="s">
        <v>13093</v>
      </c>
      <c r="D14" s="72" t="s">
        <v>13094</v>
      </c>
      <c r="E14" s="72" t="s">
        <v>13091</v>
      </c>
      <c r="F14" s="72" t="s">
        <v>35</v>
      </c>
      <c r="G14" s="72" t="s">
        <v>13095</v>
      </c>
      <c r="H14" s="72">
        <v>29</v>
      </c>
      <c r="I14" s="72">
        <v>27</v>
      </c>
      <c r="J14" s="74">
        <f t="shared" si="0"/>
        <v>-2</v>
      </c>
      <c r="K14" s="72"/>
      <c r="L14" s="72"/>
      <c r="M14" s="72" t="s">
        <v>15019</v>
      </c>
      <c r="N14" s="74">
        <f t="shared" si="2"/>
        <v>4</v>
      </c>
    </row>
    <row r="15" spans="1:14" ht="14.45" customHeight="1" x14ac:dyDescent="0.2">
      <c r="A15" s="72" t="s">
        <v>14999</v>
      </c>
      <c r="B15" s="72" t="s">
        <v>1377</v>
      </c>
      <c r="C15" s="72" t="s">
        <v>1378</v>
      </c>
      <c r="D15" s="72"/>
      <c r="E15" s="72"/>
      <c r="F15" s="72" t="s">
        <v>395</v>
      </c>
      <c r="G15" s="72" t="s">
        <v>15022</v>
      </c>
      <c r="H15" s="72">
        <v>8</v>
      </c>
      <c r="I15" s="72">
        <v>6</v>
      </c>
      <c r="J15" s="74">
        <f t="shared" si="0"/>
        <v>-2</v>
      </c>
      <c r="K15" s="72"/>
      <c r="L15" s="72"/>
      <c r="M15" s="72" t="s">
        <v>15083</v>
      </c>
      <c r="N15" s="74">
        <f t="shared" si="2"/>
        <v>-372</v>
      </c>
    </row>
    <row r="16" spans="1:14" ht="14.45" customHeight="1" x14ac:dyDescent="0.2">
      <c r="A16" s="72" t="s">
        <v>15010</v>
      </c>
      <c r="B16" s="72" t="s">
        <v>12624</v>
      </c>
      <c r="C16" s="72" t="s">
        <v>12915</v>
      </c>
      <c r="D16" s="72" t="s">
        <v>7429</v>
      </c>
      <c r="E16" s="72" t="s">
        <v>10683</v>
      </c>
      <c r="F16" s="72" t="s">
        <v>35</v>
      </c>
      <c r="G16" s="72" t="s">
        <v>12916</v>
      </c>
      <c r="H16" s="72">
        <v>32</v>
      </c>
      <c r="I16" s="72">
        <v>30</v>
      </c>
      <c r="J16" s="74">
        <f t="shared" si="0"/>
        <v>-2</v>
      </c>
      <c r="K16" s="72"/>
      <c r="L16" s="72"/>
      <c r="M16" s="72" t="s">
        <v>14998</v>
      </c>
      <c r="N16" s="74">
        <f t="shared" si="2"/>
        <v>26</v>
      </c>
    </row>
    <row r="17" spans="1:14" ht="14.45" customHeight="1" x14ac:dyDescent="0.2">
      <c r="A17" s="72" t="s">
        <v>15011</v>
      </c>
      <c r="B17" s="72" t="s">
        <v>9440</v>
      </c>
      <c r="C17" s="72" t="s">
        <v>15005</v>
      </c>
      <c r="D17" s="72" t="s">
        <v>1508</v>
      </c>
      <c r="E17" s="72" t="s">
        <v>9598</v>
      </c>
      <c r="F17" s="72" t="s">
        <v>35</v>
      </c>
      <c r="G17" s="72" t="s">
        <v>9663</v>
      </c>
      <c r="H17" s="72">
        <v>22</v>
      </c>
      <c r="I17" s="72">
        <v>20</v>
      </c>
      <c r="J17" s="74">
        <f t="shared" si="0"/>
        <v>-2</v>
      </c>
      <c r="K17" s="72"/>
      <c r="L17" s="72"/>
      <c r="M17" s="72" t="s">
        <v>15007</v>
      </c>
      <c r="N17" s="74">
        <f t="shared" si="2"/>
        <v>9</v>
      </c>
    </row>
    <row r="18" spans="1:14" ht="14.45" customHeight="1" x14ac:dyDescent="0.2">
      <c r="A18" s="72" t="s">
        <v>15012</v>
      </c>
      <c r="B18" s="72" t="s">
        <v>10703</v>
      </c>
      <c r="C18" s="72" t="s">
        <v>10739</v>
      </c>
      <c r="D18" s="72" t="s">
        <v>8153</v>
      </c>
      <c r="E18" s="72" t="s">
        <v>10412</v>
      </c>
      <c r="F18" s="72" t="s">
        <v>35</v>
      </c>
      <c r="G18" s="72" t="s">
        <v>10740</v>
      </c>
      <c r="H18" s="72">
        <v>26</v>
      </c>
      <c r="I18" s="72">
        <v>24</v>
      </c>
      <c r="J18" s="74">
        <f t="shared" si="0"/>
        <v>-2</v>
      </c>
      <c r="K18" s="72"/>
      <c r="L18" s="72"/>
      <c r="M18" s="72" t="s">
        <v>15007</v>
      </c>
      <c r="N18" s="74">
        <f t="shared" si="2"/>
        <v>13</v>
      </c>
    </row>
    <row r="19" spans="1:14" ht="14.45" customHeight="1" x14ac:dyDescent="0.2">
      <c r="A19" s="72" t="s">
        <v>15013</v>
      </c>
      <c r="B19" s="72" t="s">
        <v>13421</v>
      </c>
      <c r="C19" s="72" t="s">
        <v>3105</v>
      </c>
      <c r="D19" s="72"/>
      <c r="E19" s="72"/>
      <c r="F19" s="72" t="s">
        <v>395</v>
      </c>
      <c r="G19" s="72" t="s">
        <v>15045</v>
      </c>
      <c r="H19" s="72">
        <v>34</v>
      </c>
      <c r="I19" s="72">
        <v>32</v>
      </c>
      <c r="J19" s="74">
        <f t="shared" si="0"/>
        <v>-2</v>
      </c>
      <c r="K19" s="72"/>
      <c r="L19" s="72"/>
      <c r="M19" s="72" t="s">
        <v>14999</v>
      </c>
      <c r="N19" s="74">
        <f t="shared" si="2"/>
        <v>18</v>
      </c>
    </row>
    <row r="20" spans="1:14" ht="14.45" customHeight="1" x14ac:dyDescent="0.2">
      <c r="A20" s="72" t="s">
        <v>15014</v>
      </c>
      <c r="B20" s="72" t="s">
        <v>1402</v>
      </c>
      <c r="C20" s="72" t="s">
        <v>1404</v>
      </c>
      <c r="D20" s="72"/>
      <c r="E20" s="72"/>
      <c r="F20" s="72" t="s">
        <v>395</v>
      </c>
      <c r="G20" s="72" t="s">
        <v>15032</v>
      </c>
      <c r="H20" s="72">
        <v>12</v>
      </c>
      <c r="I20" s="72">
        <v>10</v>
      </c>
      <c r="J20" s="74">
        <f t="shared" si="0"/>
        <v>-2</v>
      </c>
      <c r="K20" s="72"/>
      <c r="L20" s="72"/>
      <c r="M20" s="72" t="s">
        <v>15075</v>
      </c>
      <c r="N20" s="74">
        <f t="shared" si="2"/>
        <v>-278</v>
      </c>
    </row>
    <row r="21" spans="1:14" ht="14.45" customHeight="1" x14ac:dyDescent="0.2">
      <c r="A21" s="72" t="s">
        <v>15016</v>
      </c>
      <c r="B21" s="72" t="s">
        <v>1505</v>
      </c>
      <c r="C21" s="72" t="s">
        <v>1480</v>
      </c>
      <c r="D21" s="72"/>
      <c r="E21" s="72" t="s">
        <v>1449</v>
      </c>
      <c r="F21" s="72" t="s">
        <v>395</v>
      </c>
      <c r="G21" s="72" t="s">
        <v>15037</v>
      </c>
      <c r="H21" s="72">
        <v>14</v>
      </c>
      <c r="I21" s="72">
        <v>12</v>
      </c>
      <c r="J21" s="74">
        <f t="shared" si="0"/>
        <v>-2</v>
      </c>
      <c r="K21" s="72"/>
      <c r="L21" s="72"/>
      <c r="M21" s="72" t="s">
        <v>15030</v>
      </c>
      <c r="N21" s="74">
        <f t="shared" si="2"/>
        <v>-60</v>
      </c>
    </row>
    <row r="22" spans="1:14" ht="14.45" customHeight="1" x14ac:dyDescent="0.2">
      <c r="A22" s="72" t="s">
        <v>15017</v>
      </c>
      <c r="B22" s="72" t="s">
        <v>1405</v>
      </c>
      <c r="C22" s="72" t="s">
        <v>1406</v>
      </c>
      <c r="D22" s="72"/>
      <c r="E22" s="72"/>
      <c r="F22" s="72" t="s">
        <v>395</v>
      </c>
      <c r="G22" s="72" t="s">
        <v>15034</v>
      </c>
      <c r="H22" s="72">
        <v>13</v>
      </c>
      <c r="I22" s="72">
        <v>11</v>
      </c>
      <c r="J22" s="74">
        <f t="shared" si="0"/>
        <v>-2</v>
      </c>
      <c r="K22" s="72"/>
      <c r="L22" s="72"/>
      <c r="M22" s="72" t="s">
        <v>15084</v>
      </c>
      <c r="N22" s="74">
        <f t="shared" si="2"/>
        <v>-3234</v>
      </c>
    </row>
    <row r="23" spans="1:14" ht="14.45" customHeight="1" x14ac:dyDescent="0.2">
      <c r="A23" s="72" t="s">
        <v>15018</v>
      </c>
      <c r="B23" s="72" t="s">
        <v>15025</v>
      </c>
      <c r="C23" s="72" t="s">
        <v>1389</v>
      </c>
      <c r="D23" s="72"/>
      <c r="E23" s="72"/>
      <c r="F23" s="72" t="s">
        <v>395</v>
      </c>
      <c r="G23" s="72" t="s">
        <v>15026</v>
      </c>
      <c r="H23" s="72">
        <v>9</v>
      </c>
      <c r="I23" s="72">
        <v>7</v>
      </c>
      <c r="J23" s="74">
        <f t="shared" si="0"/>
        <v>-2</v>
      </c>
      <c r="K23" s="72"/>
      <c r="L23" s="72"/>
      <c r="M23" s="72" t="s">
        <v>15085</v>
      </c>
      <c r="N23" s="74">
        <f t="shared" si="2"/>
        <v>-1031</v>
      </c>
    </row>
    <row r="24" spans="1:14" ht="14.45" customHeight="1" x14ac:dyDescent="0.2">
      <c r="A24" s="72" t="s">
        <v>15019</v>
      </c>
      <c r="B24" s="72" t="s">
        <v>1381</v>
      </c>
      <c r="C24" s="72" t="s">
        <v>1389</v>
      </c>
      <c r="D24" s="72"/>
      <c r="E24" s="72"/>
      <c r="F24" s="72" t="s">
        <v>395</v>
      </c>
      <c r="G24" s="72" t="s">
        <v>15026</v>
      </c>
      <c r="H24" s="72">
        <v>10</v>
      </c>
      <c r="I24" s="72">
        <v>8</v>
      </c>
      <c r="J24" s="74">
        <f t="shared" si="0"/>
        <v>-2</v>
      </c>
      <c r="K24" s="72"/>
      <c r="L24" s="72"/>
      <c r="M24" s="72" t="s">
        <v>15066</v>
      </c>
      <c r="N24" s="74">
        <f t="shared" si="2"/>
        <v>-232</v>
      </c>
    </row>
    <row r="25" spans="1:14" ht="14.45" customHeight="1" x14ac:dyDescent="0.2">
      <c r="A25" s="72" t="s">
        <v>15020</v>
      </c>
      <c r="B25" s="72" t="s">
        <v>13422</v>
      </c>
      <c r="C25" s="72" t="s">
        <v>3117</v>
      </c>
      <c r="D25" s="72"/>
      <c r="E25" s="72"/>
      <c r="F25" s="72" t="s">
        <v>395</v>
      </c>
      <c r="G25" s="72" t="s">
        <v>15047</v>
      </c>
      <c r="H25" s="72">
        <v>35</v>
      </c>
      <c r="I25" s="72">
        <v>33</v>
      </c>
      <c r="J25" s="74">
        <f t="shared" si="0"/>
        <v>-2</v>
      </c>
      <c r="K25" s="72"/>
      <c r="L25" s="72"/>
      <c r="M25" s="72" t="s">
        <v>15007</v>
      </c>
      <c r="N25" s="74">
        <f t="shared" si="2"/>
        <v>22</v>
      </c>
    </row>
    <row r="26" spans="1:14" ht="14.45" customHeight="1" x14ac:dyDescent="0.2">
      <c r="A26" s="72" t="s">
        <v>15021</v>
      </c>
      <c r="B26" s="72" t="s">
        <v>1711</v>
      </c>
      <c r="C26" s="72" t="s">
        <v>1712</v>
      </c>
      <c r="D26" s="72" t="s">
        <v>1718</v>
      </c>
      <c r="E26" s="72"/>
      <c r="F26" s="72" t="s">
        <v>1714</v>
      </c>
      <c r="G26" s="72" t="s">
        <v>1719</v>
      </c>
      <c r="H26" s="72">
        <v>16</v>
      </c>
      <c r="I26" s="72">
        <v>14</v>
      </c>
      <c r="J26" s="74">
        <f t="shared" si="0"/>
        <v>-2</v>
      </c>
      <c r="K26" s="72"/>
      <c r="L26" s="72"/>
      <c r="M26" s="72" t="s">
        <v>15007</v>
      </c>
      <c r="N26" s="74">
        <f t="shared" si="2"/>
        <v>3</v>
      </c>
    </row>
    <row r="27" spans="1:14" ht="14.45" customHeight="1" x14ac:dyDescent="0.2">
      <c r="A27" s="72" t="s">
        <v>15024</v>
      </c>
      <c r="B27" s="72" t="s">
        <v>14211</v>
      </c>
      <c r="C27" s="72" t="s">
        <v>14225</v>
      </c>
      <c r="D27" s="72" t="s">
        <v>14226</v>
      </c>
      <c r="E27" s="72" t="s">
        <v>14219</v>
      </c>
      <c r="F27" s="72" t="s">
        <v>1714</v>
      </c>
      <c r="G27" s="72" t="s">
        <v>14228</v>
      </c>
      <c r="H27" s="72">
        <v>39</v>
      </c>
      <c r="I27" s="72">
        <v>37</v>
      </c>
      <c r="J27" s="74">
        <f t="shared" si="0"/>
        <v>-2</v>
      </c>
      <c r="K27" s="72"/>
      <c r="L27" s="72"/>
      <c r="M27" s="72" t="s">
        <v>15007</v>
      </c>
      <c r="N27" s="74">
        <f t="shared" si="2"/>
        <v>26</v>
      </c>
    </row>
    <row r="28" spans="1:14" ht="14.45" customHeight="1" x14ac:dyDescent="0.2">
      <c r="A28" s="72" t="s">
        <v>15028</v>
      </c>
      <c r="B28" s="72" t="s">
        <v>2690</v>
      </c>
      <c r="C28" s="72" t="s">
        <v>2762</v>
      </c>
      <c r="D28" s="72"/>
      <c r="E28" s="72"/>
      <c r="F28" s="72" t="s">
        <v>1714</v>
      </c>
      <c r="G28" s="72" t="s">
        <v>2764</v>
      </c>
      <c r="H28" s="72">
        <v>20</v>
      </c>
      <c r="I28" s="72">
        <v>18</v>
      </c>
      <c r="J28" s="74">
        <f t="shared" si="0"/>
        <v>-2</v>
      </c>
      <c r="K28" s="72"/>
      <c r="L28" s="72"/>
      <c r="M28" s="72" t="s">
        <v>15006</v>
      </c>
      <c r="N28" s="74">
        <f t="shared" si="2"/>
        <v>8</v>
      </c>
    </row>
    <row r="29" spans="1:14" ht="14.45" customHeight="1" x14ac:dyDescent="0.2">
      <c r="A29" s="72" t="s">
        <v>15031</v>
      </c>
      <c r="B29" s="72" t="s">
        <v>2343</v>
      </c>
      <c r="C29" s="72" t="s">
        <v>2346</v>
      </c>
      <c r="D29" s="72" t="s">
        <v>2347</v>
      </c>
      <c r="E29" s="72" t="s">
        <v>2330</v>
      </c>
      <c r="F29" s="72" t="s">
        <v>508</v>
      </c>
      <c r="G29" s="72" t="s">
        <v>512</v>
      </c>
      <c r="H29" s="72">
        <v>18</v>
      </c>
      <c r="I29" s="72">
        <v>16</v>
      </c>
      <c r="J29" s="74">
        <f t="shared" si="0"/>
        <v>-2</v>
      </c>
      <c r="K29" s="72"/>
      <c r="L29" s="72"/>
      <c r="M29" s="72" t="s">
        <v>15086</v>
      </c>
      <c r="N29" s="74">
        <f t="shared" si="2"/>
        <v>-232</v>
      </c>
    </row>
    <row r="30" spans="1:14" ht="14.45" customHeight="1" x14ac:dyDescent="0.2">
      <c r="A30" s="72" t="s">
        <v>15033</v>
      </c>
      <c r="B30" s="72" t="s">
        <v>2690</v>
      </c>
      <c r="C30" s="72" t="s">
        <v>2724</v>
      </c>
      <c r="D30" s="72" t="s">
        <v>1038</v>
      </c>
      <c r="E30" s="72" t="s">
        <v>2725</v>
      </c>
      <c r="F30" s="72" t="s">
        <v>1267</v>
      </c>
      <c r="G30" s="72" t="s">
        <v>2724</v>
      </c>
      <c r="H30" s="72">
        <v>19</v>
      </c>
      <c r="I30" s="72">
        <v>17</v>
      </c>
      <c r="J30" s="74">
        <f t="shared" si="0"/>
        <v>-2</v>
      </c>
      <c r="K30" s="72"/>
      <c r="L30" s="72"/>
      <c r="M30" s="72" t="s">
        <v>14993</v>
      </c>
      <c r="N30" s="74">
        <f t="shared" si="2"/>
        <v>16</v>
      </c>
    </row>
    <row r="31" spans="1:14" ht="14.45" customHeight="1" x14ac:dyDescent="0.2">
      <c r="A31" s="72" t="s">
        <v>15036</v>
      </c>
      <c r="B31" s="72" t="s">
        <v>12624</v>
      </c>
      <c r="C31" s="72" t="s">
        <v>12973</v>
      </c>
      <c r="D31" s="72" t="s">
        <v>552</v>
      </c>
      <c r="E31" s="72"/>
      <c r="F31" s="72" t="s">
        <v>35</v>
      </c>
      <c r="G31" s="72" t="s">
        <v>12977</v>
      </c>
      <c r="H31" s="72">
        <v>33</v>
      </c>
      <c r="I31" s="72">
        <v>31</v>
      </c>
      <c r="J31" s="74">
        <f t="shared" si="0"/>
        <v>-2</v>
      </c>
      <c r="K31" s="72"/>
      <c r="L31" s="72"/>
      <c r="M31" s="72" t="s">
        <v>15013</v>
      </c>
      <c r="N31" s="74">
        <f t="shared" si="2"/>
        <v>13</v>
      </c>
    </row>
    <row r="32" spans="1:14" ht="14.45" customHeight="1" x14ac:dyDescent="0.2">
      <c r="A32" s="72" t="s">
        <v>15038</v>
      </c>
      <c r="B32" s="72" t="s">
        <v>1506</v>
      </c>
      <c r="C32" s="72" t="s">
        <v>1507</v>
      </c>
      <c r="D32" s="72" t="s">
        <v>1508</v>
      </c>
      <c r="E32" s="72"/>
      <c r="F32" s="72" t="s">
        <v>35</v>
      </c>
      <c r="G32" s="72" t="s">
        <v>1509</v>
      </c>
      <c r="H32" s="72">
        <v>15</v>
      </c>
      <c r="I32" s="72">
        <v>13</v>
      </c>
      <c r="J32" s="74">
        <f t="shared" si="0"/>
        <v>-2</v>
      </c>
      <c r="K32" s="72"/>
      <c r="L32" s="72"/>
      <c r="M32" s="72" t="s">
        <v>15048</v>
      </c>
      <c r="N32" s="74">
        <f t="shared" si="2"/>
        <v>-24</v>
      </c>
    </row>
    <row r="33" spans="1:14" ht="14.45" customHeight="1" x14ac:dyDescent="0.2">
      <c r="A33" s="72" t="s">
        <v>15040</v>
      </c>
      <c r="B33" s="72" t="s">
        <v>13785</v>
      </c>
      <c r="C33" s="72" t="s">
        <v>14087</v>
      </c>
      <c r="D33" s="72" t="s">
        <v>1513</v>
      </c>
      <c r="E33" s="72"/>
      <c r="F33" s="72" t="s">
        <v>35</v>
      </c>
      <c r="G33" s="72" t="s">
        <v>14088</v>
      </c>
      <c r="H33" s="72">
        <v>36</v>
      </c>
      <c r="I33" s="72">
        <v>34</v>
      </c>
      <c r="J33" s="74">
        <f t="shared" si="0"/>
        <v>-2</v>
      </c>
      <c r="K33" s="72"/>
      <c r="L33" s="72"/>
      <c r="M33" s="72" t="s">
        <v>15013</v>
      </c>
      <c r="N33" s="74">
        <f t="shared" si="2"/>
        <v>16</v>
      </c>
    </row>
    <row r="34" spans="1:14" ht="14.45" customHeight="1" x14ac:dyDescent="0.2">
      <c r="A34" s="72" t="s">
        <v>15042</v>
      </c>
      <c r="B34" s="72" t="s">
        <v>13785</v>
      </c>
      <c r="C34" s="72" t="s">
        <v>14095</v>
      </c>
      <c r="D34" s="72" t="s">
        <v>1513</v>
      </c>
      <c r="E34" s="72"/>
      <c r="F34" s="72" t="s">
        <v>35</v>
      </c>
      <c r="G34" s="72" t="s">
        <v>14096</v>
      </c>
      <c r="H34" s="72">
        <v>37</v>
      </c>
      <c r="I34" s="72">
        <v>35</v>
      </c>
      <c r="J34" s="74">
        <f t="shared" si="0"/>
        <v>-2</v>
      </c>
      <c r="K34" s="72"/>
      <c r="L34" s="72"/>
      <c r="M34" s="72" t="s">
        <v>15001</v>
      </c>
      <c r="N34" s="74">
        <f t="shared" si="2"/>
        <v>29</v>
      </c>
    </row>
    <row r="35" spans="1:14" ht="14.45" customHeight="1" x14ac:dyDescent="0.2">
      <c r="A35" s="72" t="s">
        <v>15044</v>
      </c>
      <c r="B35" s="72" t="s">
        <v>13785</v>
      </c>
      <c r="C35" s="72" t="s">
        <v>14141</v>
      </c>
      <c r="D35" s="72" t="s">
        <v>1513</v>
      </c>
      <c r="E35" s="72"/>
      <c r="F35" s="72" t="s">
        <v>35</v>
      </c>
      <c r="G35" s="72" t="s">
        <v>14142</v>
      </c>
      <c r="H35" s="72">
        <v>38</v>
      </c>
      <c r="I35" s="72">
        <v>36</v>
      </c>
      <c r="J35" s="74">
        <f t="shared" si="0"/>
        <v>-2</v>
      </c>
      <c r="K35" s="72"/>
      <c r="L35" s="72"/>
      <c r="M35" s="72" t="s">
        <v>14998</v>
      </c>
      <c r="N35" s="74">
        <f t="shared" si="2"/>
        <v>32</v>
      </c>
    </row>
    <row r="36" spans="1:14" ht="14.45" customHeight="1" x14ac:dyDescent="0.2">
      <c r="A36" s="72" t="s">
        <v>15046</v>
      </c>
      <c r="B36" s="72" t="s">
        <v>505</v>
      </c>
      <c r="C36" s="72" t="s">
        <v>506</v>
      </c>
      <c r="D36" s="72" t="s">
        <v>507</v>
      </c>
      <c r="E36" s="72"/>
      <c r="F36" s="72" t="s">
        <v>508</v>
      </c>
      <c r="G36" s="72"/>
      <c r="H36" s="72">
        <v>3</v>
      </c>
      <c r="I36" s="72">
        <v>1</v>
      </c>
      <c r="J36" s="74">
        <f t="shared" si="0"/>
        <v>-2</v>
      </c>
      <c r="K36" s="72"/>
      <c r="L36" s="72"/>
      <c r="M36" s="72" t="s">
        <v>15000</v>
      </c>
      <c r="N36" s="74">
        <f t="shared" si="2"/>
        <v>-4</v>
      </c>
    </row>
    <row r="37" spans="1:14" ht="14.45" customHeight="1" x14ac:dyDescent="0.2">
      <c r="A37" s="72" t="s">
        <v>15023</v>
      </c>
      <c r="B37" s="72" t="s">
        <v>505</v>
      </c>
      <c r="C37" s="72" t="s">
        <v>512</v>
      </c>
      <c r="D37" s="72" t="s">
        <v>507</v>
      </c>
      <c r="E37" s="72"/>
      <c r="F37" s="72" t="s">
        <v>508</v>
      </c>
      <c r="G37" s="72"/>
      <c r="H37" s="72">
        <v>4</v>
      </c>
      <c r="I37" s="72">
        <v>2</v>
      </c>
      <c r="J37" s="74">
        <f t="shared" si="0"/>
        <v>-2</v>
      </c>
      <c r="K37" s="72"/>
      <c r="L37" s="72"/>
      <c r="M37" s="72" t="s">
        <v>15038</v>
      </c>
      <c r="N37" s="74">
        <f t="shared" si="2"/>
        <v>-29</v>
      </c>
    </row>
    <row r="38" spans="1:14" ht="14.45" customHeight="1" x14ac:dyDescent="0.2">
      <c r="A38" s="72" t="s">
        <v>15048</v>
      </c>
      <c r="B38" s="72" t="s">
        <v>9436</v>
      </c>
      <c r="C38" s="72" t="s">
        <v>9437</v>
      </c>
      <c r="D38" s="72"/>
      <c r="E38" s="72"/>
      <c r="F38" s="72" t="s">
        <v>9438</v>
      </c>
      <c r="G38" s="72"/>
      <c r="H38" s="72">
        <v>21</v>
      </c>
      <c r="I38" s="72">
        <v>19</v>
      </c>
      <c r="J38" s="74">
        <f t="shared" si="0"/>
        <v>-2</v>
      </c>
      <c r="K38" s="72"/>
      <c r="L38" s="72"/>
      <c r="M38" s="72" t="s">
        <v>15007</v>
      </c>
      <c r="N38" s="74">
        <f t="shared" si="2"/>
        <v>8</v>
      </c>
    </row>
    <row r="39" spans="1:14" ht="14.45" customHeight="1" x14ac:dyDescent="0.2">
      <c r="A39" s="72" t="s">
        <v>15049</v>
      </c>
      <c r="B39" s="72" t="s">
        <v>10872</v>
      </c>
      <c r="C39" s="72" t="s">
        <v>10873</v>
      </c>
      <c r="D39" s="72"/>
      <c r="E39" s="72"/>
      <c r="F39" s="72"/>
      <c r="G39" s="72"/>
      <c r="H39" s="72">
        <v>27</v>
      </c>
      <c r="I39" s="72">
        <v>25</v>
      </c>
      <c r="J39" s="74">
        <f t="shared" si="0"/>
        <v>-2</v>
      </c>
      <c r="K39" s="72"/>
      <c r="L39" s="72"/>
      <c r="M39" s="72" t="s">
        <v>15009</v>
      </c>
      <c r="N39" s="74">
        <f t="shared" si="2"/>
        <v>12</v>
      </c>
    </row>
    <row r="40" spans="1:14" ht="14.45" customHeight="1" x14ac:dyDescent="0.2">
      <c r="A40" s="72" t="s">
        <v>15050</v>
      </c>
      <c r="B40" s="72" t="s">
        <v>10874</v>
      </c>
      <c r="C40" s="72" t="s">
        <v>10875</v>
      </c>
      <c r="D40" s="72" t="s">
        <v>1848</v>
      </c>
      <c r="E40" s="72"/>
      <c r="F40" s="72"/>
      <c r="G40" s="72"/>
      <c r="H40" s="72">
        <v>28</v>
      </c>
      <c r="I40" s="72">
        <v>26</v>
      </c>
      <c r="J40" s="74">
        <f t="shared" si="0"/>
        <v>-2</v>
      </c>
      <c r="K40" s="72"/>
      <c r="L40" s="72"/>
      <c r="M40" s="72" t="s">
        <v>14993</v>
      </c>
      <c r="N40" s="74">
        <f t="shared" si="2"/>
        <v>25</v>
      </c>
    </row>
    <row r="41" spans="1:14" ht="14.45" customHeight="1" x14ac:dyDescent="0.2">
      <c r="A41" s="72" t="s">
        <v>15051</v>
      </c>
      <c r="B41" s="72" t="s">
        <v>699</v>
      </c>
      <c r="C41" s="72" t="s">
        <v>827</v>
      </c>
      <c r="D41" s="72" t="s">
        <v>760</v>
      </c>
      <c r="E41" s="72" t="s">
        <v>524</v>
      </c>
      <c r="F41" s="72" t="s">
        <v>35</v>
      </c>
      <c r="G41" s="72" t="s">
        <v>829</v>
      </c>
      <c r="H41" s="72"/>
      <c r="I41" s="72" t="s">
        <v>15087</v>
      </c>
      <c r="J41" s="74" t="str">
        <f t="shared" ref="J41" si="3">IF(OR(H41&lt;0,H41=""), "",I41-H41)</f>
        <v/>
      </c>
      <c r="K41" s="72"/>
      <c r="L41" s="72"/>
      <c r="M41" s="72" t="s">
        <v>14998</v>
      </c>
      <c r="N41" s="74">
        <f t="shared" si="2"/>
        <v>-4</v>
      </c>
    </row>
    <row r="42" spans="1:14" ht="14.45" customHeight="1" x14ac:dyDescent="0.2">
      <c r="A42" s="72" t="s">
        <v>15058</v>
      </c>
      <c r="B42" s="72" t="s">
        <v>699</v>
      </c>
      <c r="C42" s="72" t="s">
        <v>827</v>
      </c>
      <c r="D42" s="72" t="s">
        <v>775</v>
      </c>
      <c r="E42" s="72" t="s">
        <v>524</v>
      </c>
      <c r="F42" s="72" t="s">
        <v>35</v>
      </c>
      <c r="G42" s="72" t="s">
        <v>832</v>
      </c>
      <c r="H42" s="72"/>
      <c r="I42" s="72" t="s">
        <v>15087</v>
      </c>
      <c r="J42" s="74" t="str">
        <f t="shared" ref="J42:J105" si="4">IF(OR(H42&lt;0,H42=""), "",I42-H42)</f>
        <v/>
      </c>
      <c r="K42" s="72"/>
      <c r="L42" s="72"/>
      <c r="M42" s="72" t="s">
        <v>15088</v>
      </c>
      <c r="N42" s="74">
        <f t="shared" ref="N42:N105" si="5">IF(OR(M42&lt;0,M42=""), "",I42-M42)</f>
        <v>-79</v>
      </c>
    </row>
    <row r="43" spans="1:14" ht="14.45" customHeight="1" x14ac:dyDescent="0.2">
      <c r="A43" s="72" t="s">
        <v>15062</v>
      </c>
      <c r="B43" s="72" t="s">
        <v>699</v>
      </c>
      <c r="C43" s="72" t="s">
        <v>870</v>
      </c>
      <c r="D43" s="72" t="s">
        <v>760</v>
      </c>
      <c r="E43" s="72" t="s">
        <v>765</v>
      </c>
      <c r="F43" s="72" t="s">
        <v>35</v>
      </c>
      <c r="G43" s="72" t="s">
        <v>872</v>
      </c>
      <c r="H43" s="72"/>
      <c r="I43" s="72" t="s">
        <v>15087</v>
      </c>
      <c r="J43" s="74" t="str">
        <f t="shared" si="4"/>
        <v/>
      </c>
      <c r="K43" s="72"/>
      <c r="L43" s="72"/>
      <c r="M43" s="72" t="s">
        <v>14998</v>
      </c>
      <c r="N43" s="74">
        <f t="shared" si="5"/>
        <v>-4</v>
      </c>
    </row>
    <row r="44" spans="1:14" ht="14.45" customHeight="1" x14ac:dyDescent="0.2">
      <c r="A44" s="72" t="s">
        <v>15089</v>
      </c>
      <c r="B44" s="72" t="s">
        <v>699</v>
      </c>
      <c r="C44" s="72" t="s">
        <v>870</v>
      </c>
      <c r="D44" s="72" t="s">
        <v>775</v>
      </c>
      <c r="E44" s="72" t="s">
        <v>765</v>
      </c>
      <c r="F44" s="72" t="s">
        <v>35</v>
      </c>
      <c r="G44" s="72" t="s">
        <v>879</v>
      </c>
      <c r="H44" s="72"/>
      <c r="I44" s="72" t="s">
        <v>15087</v>
      </c>
      <c r="J44" s="74" t="str">
        <f t="shared" si="4"/>
        <v/>
      </c>
      <c r="K44" s="72"/>
      <c r="L44" s="72"/>
      <c r="M44" s="72" t="s">
        <v>15006</v>
      </c>
      <c r="N44" s="74">
        <f t="shared" si="5"/>
        <v>-10</v>
      </c>
    </row>
    <row r="45" spans="1:14" ht="14.45" customHeight="1" x14ac:dyDescent="0.2">
      <c r="A45" s="72" t="s">
        <v>15090</v>
      </c>
      <c r="B45" s="72" t="s">
        <v>1265</v>
      </c>
      <c r="C45" s="72" t="s">
        <v>1283</v>
      </c>
      <c r="D45" s="72" t="s">
        <v>1284</v>
      </c>
      <c r="E45" s="72"/>
      <c r="F45" s="72" t="s">
        <v>430</v>
      </c>
      <c r="G45" s="72" t="s">
        <v>1285</v>
      </c>
      <c r="H45" s="72"/>
      <c r="I45" s="72" t="s">
        <v>15087</v>
      </c>
      <c r="J45" s="74" t="str">
        <f t="shared" si="4"/>
        <v/>
      </c>
      <c r="K45" s="72"/>
      <c r="L45" s="72"/>
      <c r="M45" s="72" t="s">
        <v>14993</v>
      </c>
      <c r="N45" s="74">
        <f t="shared" si="5"/>
        <v>-1</v>
      </c>
    </row>
    <row r="46" spans="1:14" ht="14.45" customHeight="1" x14ac:dyDescent="0.2">
      <c r="A46" s="72" t="s">
        <v>15091</v>
      </c>
      <c r="B46" s="72" t="s">
        <v>1265</v>
      </c>
      <c r="C46" s="72" t="s">
        <v>1286</v>
      </c>
      <c r="D46" s="72" t="s">
        <v>81</v>
      </c>
      <c r="E46" s="72" t="s">
        <v>728</v>
      </c>
      <c r="F46" s="72" t="s">
        <v>35</v>
      </c>
      <c r="G46" s="72" t="s">
        <v>1292</v>
      </c>
      <c r="H46" s="72"/>
      <c r="I46" s="72" t="s">
        <v>15087</v>
      </c>
      <c r="J46" s="74" t="str">
        <f t="shared" si="4"/>
        <v/>
      </c>
      <c r="K46" s="72"/>
      <c r="L46" s="72"/>
      <c r="M46" s="72" t="s">
        <v>15006</v>
      </c>
      <c r="N46" s="74">
        <f t="shared" si="5"/>
        <v>-10</v>
      </c>
    </row>
    <row r="47" spans="1:14" ht="14.45" customHeight="1" x14ac:dyDescent="0.2">
      <c r="A47" s="72" t="s">
        <v>15092</v>
      </c>
      <c r="B47" s="72" t="s">
        <v>1265</v>
      </c>
      <c r="C47" s="72" t="s">
        <v>1286</v>
      </c>
      <c r="D47" s="72" t="s">
        <v>86</v>
      </c>
      <c r="E47" s="72" t="s">
        <v>765</v>
      </c>
      <c r="F47" s="72" t="s">
        <v>35</v>
      </c>
      <c r="G47" s="72" t="s">
        <v>1301</v>
      </c>
      <c r="H47" s="72"/>
      <c r="I47" s="72" t="s">
        <v>15087</v>
      </c>
      <c r="J47" s="74" t="str">
        <f t="shared" si="4"/>
        <v/>
      </c>
      <c r="K47" s="72"/>
      <c r="L47" s="72"/>
      <c r="M47" s="72" t="s">
        <v>14995</v>
      </c>
      <c r="N47" s="74">
        <f t="shared" si="5"/>
        <v>-2</v>
      </c>
    </row>
    <row r="48" spans="1:14" ht="14.45" customHeight="1" x14ac:dyDescent="0.2">
      <c r="A48" s="72" t="s">
        <v>15093</v>
      </c>
      <c r="B48" s="72" t="s">
        <v>1265</v>
      </c>
      <c r="C48" s="72" t="s">
        <v>1307</v>
      </c>
      <c r="D48" s="72" t="s">
        <v>81</v>
      </c>
      <c r="E48" s="72" t="s">
        <v>1310</v>
      </c>
      <c r="F48" s="72" t="s">
        <v>35</v>
      </c>
      <c r="G48" s="72" t="s">
        <v>1311</v>
      </c>
      <c r="H48" s="72"/>
      <c r="I48" s="72" t="s">
        <v>15087</v>
      </c>
      <c r="J48" s="74" t="str">
        <f t="shared" si="4"/>
        <v/>
      </c>
      <c r="K48" s="72"/>
      <c r="L48" s="72"/>
      <c r="M48" s="72" t="s">
        <v>14998</v>
      </c>
      <c r="N48" s="74">
        <f t="shared" si="5"/>
        <v>-4</v>
      </c>
    </row>
    <row r="49" spans="1:14" ht="14.45" customHeight="1" x14ac:dyDescent="0.2">
      <c r="A49" s="72" t="s">
        <v>15052</v>
      </c>
      <c r="B49" s="72" t="s">
        <v>5259</v>
      </c>
      <c r="C49" s="72" t="s">
        <v>5283</v>
      </c>
      <c r="D49" s="72"/>
      <c r="E49" s="72"/>
      <c r="F49" s="72" t="s">
        <v>395</v>
      </c>
      <c r="G49" s="72" t="s">
        <v>15039</v>
      </c>
      <c r="H49" s="72"/>
      <c r="I49" s="72" t="s">
        <v>15087</v>
      </c>
      <c r="J49" s="74" t="str">
        <f t="shared" si="4"/>
        <v/>
      </c>
      <c r="K49" s="72"/>
      <c r="L49" s="72"/>
      <c r="M49" s="72" t="s">
        <v>15082</v>
      </c>
      <c r="N49" s="74">
        <f t="shared" si="5"/>
        <v>-287</v>
      </c>
    </row>
    <row r="50" spans="1:14" ht="14.45" customHeight="1" x14ac:dyDescent="0.2">
      <c r="A50" s="72" t="s">
        <v>15094</v>
      </c>
      <c r="B50" s="72" t="s">
        <v>7923</v>
      </c>
      <c r="C50" s="72" t="s">
        <v>7924</v>
      </c>
      <c r="D50" s="72" t="s">
        <v>81</v>
      </c>
      <c r="E50" s="72" t="s">
        <v>7925</v>
      </c>
      <c r="F50" s="72" t="s">
        <v>35</v>
      </c>
      <c r="G50" s="72" t="s">
        <v>7926</v>
      </c>
      <c r="H50" s="72"/>
      <c r="I50" s="72" t="s">
        <v>15087</v>
      </c>
      <c r="J50" s="74" t="str">
        <f t="shared" si="4"/>
        <v/>
      </c>
      <c r="K50" s="72"/>
      <c r="L50" s="72"/>
      <c r="M50" s="72" t="s">
        <v>15003</v>
      </c>
      <c r="N50" s="74">
        <f t="shared" si="5"/>
        <v>-8</v>
      </c>
    </row>
    <row r="51" spans="1:14" ht="14.45" customHeight="1" x14ac:dyDescent="0.2">
      <c r="A51" s="72" t="s">
        <v>15060</v>
      </c>
      <c r="B51" s="72" t="s">
        <v>7923</v>
      </c>
      <c r="C51" s="72" t="s">
        <v>7924</v>
      </c>
      <c r="D51" s="72" t="s">
        <v>7950</v>
      </c>
      <c r="E51" s="72" t="s">
        <v>7925</v>
      </c>
      <c r="F51" s="72" t="s">
        <v>35</v>
      </c>
      <c r="G51" s="72" t="s">
        <v>7951</v>
      </c>
      <c r="H51" s="72"/>
      <c r="I51" s="72" t="s">
        <v>15087</v>
      </c>
      <c r="J51" s="74" t="str">
        <f t="shared" si="4"/>
        <v/>
      </c>
      <c r="K51" s="72"/>
      <c r="L51" s="72"/>
      <c r="M51" s="72" t="s">
        <v>15002</v>
      </c>
      <c r="N51" s="74">
        <f t="shared" si="5"/>
        <v>-7</v>
      </c>
    </row>
    <row r="52" spans="1:14" ht="14.45" customHeight="1" x14ac:dyDescent="0.2">
      <c r="A52" s="72" t="s">
        <v>15095</v>
      </c>
      <c r="B52" s="72" t="s">
        <v>8159</v>
      </c>
      <c r="C52" s="72" t="s">
        <v>15015</v>
      </c>
      <c r="D52" s="72"/>
      <c r="E52" s="72" t="s">
        <v>6690</v>
      </c>
      <c r="F52" s="72" t="s">
        <v>460</v>
      </c>
      <c r="G52" s="72" t="s">
        <v>8161</v>
      </c>
      <c r="H52" s="72"/>
      <c r="I52" s="72" t="s">
        <v>15087</v>
      </c>
      <c r="J52" s="74" t="str">
        <f t="shared" si="4"/>
        <v/>
      </c>
      <c r="K52" s="72"/>
      <c r="L52" s="72"/>
      <c r="M52" s="72" t="s">
        <v>15007</v>
      </c>
      <c r="N52" s="74">
        <f t="shared" si="5"/>
        <v>-11</v>
      </c>
    </row>
    <row r="53" spans="1:14" ht="14.45" customHeight="1" x14ac:dyDescent="0.2">
      <c r="A53" s="72" t="s">
        <v>15096</v>
      </c>
      <c r="B53" s="72" t="s">
        <v>8828</v>
      </c>
      <c r="C53" s="72" t="s">
        <v>8838</v>
      </c>
      <c r="D53" s="72" t="s">
        <v>8839</v>
      </c>
      <c r="E53" s="72" t="s">
        <v>8840</v>
      </c>
      <c r="F53" s="72" t="s">
        <v>35</v>
      </c>
      <c r="G53" s="72" t="s">
        <v>8841</v>
      </c>
      <c r="H53" s="72"/>
      <c r="I53" s="72" t="s">
        <v>15087</v>
      </c>
      <c r="J53" s="74" t="str">
        <f t="shared" si="4"/>
        <v/>
      </c>
      <c r="K53" s="72"/>
      <c r="L53" s="72"/>
      <c r="M53" s="72" t="s">
        <v>15019</v>
      </c>
      <c r="N53" s="74">
        <f t="shared" si="5"/>
        <v>-23</v>
      </c>
    </row>
    <row r="54" spans="1:14" ht="14.45" customHeight="1" x14ac:dyDescent="0.2">
      <c r="A54" s="72" t="s">
        <v>15097</v>
      </c>
      <c r="B54" s="72" t="s">
        <v>8865</v>
      </c>
      <c r="C54" s="72" t="s">
        <v>8923</v>
      </c>
      <c r="D54" s="72" t="s">
        <v>8924</v>
      </c>
      <c r="E54" s="72" t="s">
        <v>6675</v>
      </c>
      <c r="F54" s="72" t="s">
        <v>460</v>
      </c>
      <c r="G54" s="72" t="s">
        <v>8923</v>
      </c>
      <c r="H54" s="72"/>
      <c r="I54" s="72" t="s">
        <v>15087</v>
      </c>
      <c r="J54" s="74" t="str">
        <f t="shared" si="4"/>
        <v/>
      </c>
      <c r="K54" s="72"/>
      <c r="L54" s="72"/>
      <c r="M54" s="72" t="s">
        <v>15007</v>
      </c>
      <c r="N54" s="74">
        <f t="shared" si="5"/>
        <v>-11</v>
      </c>
    </row>
    <row r="55" spans="1:14" ht="14.45" customHeight="1" x14ac:dyDescent="0.2">
      <c r="A55" s="72" t="s">
        <v>15059</v>
      </c>
      <c r="B55" s="72" t="s">
        <v>15054</v>
      </c>
      <c r="C55" s="72" t="s">
        <v>15055</v>
      </c>
      <c r="D55" s="72"/>
      <c r="E55" s="72"/>
      <c r="F55" s="72"/>
      <c r="G55" s="72"/>
      <c r="H55" s="72"/>
      <c r="I55" s="72" t="s">
        <v>15087</v>
      </c>
      <c r="J55" s="74" t="str">
        <f t="shared" si="4"/>
        <v/>
      </c>
      <c r="K55" s="72"/>
      <c r="L55" s="72"/>
      <c r="M55" s="72" t="s">
        <v>14999</v>
      </c>
      <c r="N55" s="74">
        <f t="shared" si="5"/>
        <v>-14</v>
      </c>
    </row>
    <row r="56" spans="1:14" ht="14.45" customHeight="1" x14ac:dyDescent="0.2">
      <c r="A56" s="72" t="s">
        <v>15098</v>
      </c>
      <c r="B56" s="72" t="s">
        <v>10910</v>
      </c>
      <c r="C56" s="72" t="s">
        <v>10919</v>
      </c>
      <c r="D56" s="72" t="s">
        <v>10912</v>
      </c>
      <c r="E56" s="72" t="s">
        <v>3190</v>
      </c>
      <c r="F56" s="72" t="s">
        <v>35</v>
      </c>
      <c r="G56" s="72" t="s">
        <v>10920</v>
      </c>
      <c r="H56" s="72"/>
      <c r="I56" s="72" t="s">
        <v>15087</v>
      </c>
      <c r="J56" s="74" t="str">
        <f t="shared" si="4"/>
        <v/>
      </c>
      <c r="K56" s="72"/>
      <c r="L56" s="72"/>
      <c r="M56" s="72" t="s">
        <v>15093</v>
      </c>
      <c r="N56" s="74">
        <f t="shared" si="5"/>
        <v>-47</v>
      </c>
    </row>
    <row r="57" spans="1:14" ht="14.45" customHeight="1" x14ac:dyDescent="0.2">
      <c r="A57" s="72" t="s">
        <v>15063</v>
      </c>
      <c r="B57" s="72" t="s">
        <v>11640</v>
      </c>
      <c r="C57" s="72" t="s">
        <v>10675</v>
      </c>
      <c r="D57" s="72"/>
      <c r="E57" s="72"/>
      <c r="F57" s="72" t="s">
        <v>35</v>
      </c>
      <c r="G57" s="72" t="s">
        <v>10676</v>
      </c>
      <c r="H57" s="72"/>
      <c r="I57" s="72" t="s">
        <v>15087</v>
      </c>
      <c r="J57" s="74" t="str">
        <f t="shared" si="4"/>
        <v/>
      </c>
      <c r="K57" s="72"/>
      <c r="L57" s="72"/>
      <c r="M57" s="72" t="s">
        <v>14998</v>
      </c>
      <c r="N57" s="74">
        <f t="shared" si="5"/>
        <v>-4</v>
      </c>
    </row>
    <row r="58" spans="1:14" ht="14.45" customHeight="1" x14ac:dyDescent="0.2">
      <c r="A58" s="72" t="s">
        <v>15067</v>
      </c>
      <c r="B58" s="72" t="s">
        <v>12336</v>
      </c>
      <c r="C58" s="72" t="s">
        <v>12337</v>
      </c>
      <c r="D58" s="72"/>
      <c r="E58" s="72"/>
      <c r="F58" s="72" t="s">
        <v>395</v>
      </c>
      <c r="G58" s="72" t="s">
        <v>15041</v>
      </c>
      <c r="H58" s="72"/>
      <c r="I58" s="72" t="s">
        <v>15087</v>
      </c>
      <c r="J58" s="74" t="str">
        <f t="shared" si="4"/>
        <v/>
      </c>
      <c r="K58" s="72"/>
      <c r="L58" s="72"/>
      <c r="M58" s="72" t="s">
        <v>15099</v>
      </c>
      <c r="N58" s="74">
        <f t="shared" si="5"/>
        <v>-320</v>
      </c>
    </row>
    <row r="59" spans="1:14" ht="14.45" customHeight="1" x14ac:dyDescent="0.2">
      <c r="A59" s="72" t="s">
        <v>15100</v>
      </c>
      <c r="B59" s="72" t="s">
        <v>12338</v>
      </c>
      <c r="C59" s="72" t="s">
        <v>12339</v>
      </c>
      <c r="D59" s="72"/>
      <c r="E59" s="72"/>
      <c r="F59" s="72" t="s">
        <v>395</v>
      </c>
      <c r="G59" s="72" t="s">
        <v>15043</v>
      </c>
      <c r="H59" s="72"/>
      <c r="I59" s="72" t="s">
        <v>15087</v>
      </c>
      <c r="J59" s="74" t="str">
        <f t="shared" si="4"/>
        <v/>
      </c>
      <c r="K59" s="72"/>
      <c r="L59" s="72"/>
      <c r="M59" s="72" t="s">
        <v>15101</v>
      </c>
      <c r="N59" s="74">
        <f t="shared" si="5"/>
        <v>-582</v>
      </c>
    </row>
    <row r="60" spans="1:14" ht="14.45" customHeight="1" x14ac:dyDescent="0.2">
      <c r="A60" s="72" t="s">
        <v>15102</v>
      </c>
      <c r="B60" s="72" t="s">
        <v>12625</v>
      </c>
      <c r="C60" s="72" t="s">
        <v>12626</v>
      </c>
      <c r="D60" s="72" t="s">
        <v>12627</v>
      </c>
      <c r="E60" s="72"/>
      <c r="F60" s="72" t="s">
        <v>35</v>
      </c>
      <c r="G60" s="72" t="s">
        <v>12628</v>
      </c>
      <c r="H60" s="72"/>
      <c r="I60" s="72" t="s">
        <v>15087</v>
      </c>
      <c r="J60" s="74" t="str">
        <f t="shared" si="4"/>
        <v/>
      </c>
      <c r="K60" s="72"/>
      <c r="L60" s="72"/>
      <c r="M60" s="72" t="s">
        <v>14995</v>
      </c>
      <c r="N60" s="74">
        <f t="shared" si="5"/>
        <v>-2</v>
      </c>
    </row>
    <row r="61" spans="1:14" ht="14.45" customHeight="1" x14ac:dyDescent="0.2">
      <c r="A61" s="72" t="s">
        <v>15027</v>
      </c>
      <c r="B61" s="72" t="s">
        <v>12659</v>
      </c>
      <c r="C61" s="72" t="s">
        <v>12675</v>
      </c>
      <c r="D61" s="72" t="s">
        <v>760</v>
      </c>
      <c r="E61" s="72" t="s">
        <v>728</v>
      </c>
      <c r="F61" s="72" t="s">
        <v>35</v>
      </c>
      <c r="G61" s="72" t="s">
        <v>12676</v>
      </c>
      <c r="H61" s="72"/>
      <c r="I61" s="72" t="s">
        <v>15087</v>
      </c>
      <c r="J61" s="74" t="str">
        <f t="shared" si="4"/>
        <v/>
      </c>
      <c r="K61" s="72"/>
      <c r="L61" s="72"/>
      <c r="M61" s="72" t="s">
        <v>15006</v>
      </c>
      <c r="N61" s="74">
        <f t="shared" si="5"/>
        <v>-10</v>
      </c>
    </row>
    <row r="62" spans="1:14" ht="14.45" customHeight="1" x14ac:dyDescent="0.2">
      <c r="A62" s="72" t="s">
        <v>15073</v>
      </c>
      <c r="B62" s="72" t="s">
        <v>13785</v>
      </c>
      <c r="C62" s="72" t="s">
        <v>14099</v>
      </c>
      <c r="D62" s="72" t="s">
        <v>1513</v>
      </c>
      <c r="E62" s="72"/>
      <c r="F62" s="72" t="s">
        <v>35</v>
      </c>
      <c r="G62" s="72" t="s">
        <v>14100</v>
      </c>
      <c r="H62" s="72"/>
      <c r="I62" s="72" t="s">
        <v>15087</v>
      </c>
      <c r="J62" s="74" t="str">
        <f t="shared" si="4"/>
        <v/>
      </c>
      <c r="K62" s="72"/>
      <c r="L62" s="72"/>
      <c r="M62" s="72" t="s">
        <v>14998</v>
      </c>
      <c r="N62" s="74">
        <f t="shared" si="5"/>
        <v>-4</v>
      </c>
    </row>
    <row r="63" spans="1:14" ht="14.45" customHeight="1" x14ac:dyDescent="0.2">
      <c r="A63" s="72" t="s">
        <v>15103</v>
      </c>
      <c r="B63" s="72" t="s">
        <v>13785</v>
      </c>
      <c r="C63" s="72" t="s">
        <v>14105</v>
      </c>
      <c r="D63" s="72" t="s">
        <v>1513</v>
      </c>
      <c r="E63" s="72"/>
      <c r="F63" s="72" t="s">
        <v>35</v>
      </c>
      <c r="G63" s="72" t="s">
        <v>14106</v>
      </c>
      <c r="H63" s="72"/>
      <c r="I63" s="72" t="s">
        <v>15087</v>
      </c>
      <c r="J63" s="74" t="str">
        <f t="shared" si="4"/>
        <v/>
      </c>
      <c r="K63" s="72"/>
      <c r="L63" s="72"/>
      <c r="M63" s="72" t="s">
        <v>14995</v>
      </c>
      <c r="N63" s="74">
        <f t="shared" si="5"/>
        <v>-2</v>
      </c>
    </row>
    <row r="64" spans="1:14" ht="14.45" customHeight="1" x14ac:dyDescent="0.2">
      <c r="A64" s="72" t="s">
        <v>15104</v>
      </c>
      <c r="B64" s="72" t="s">
        <v>13785</v>
      </c>
      <c r="C64" s="72" t="s">
        <v>14117</v>
      </c>
      <c r="D64" s="72" t="s">
        <v>1513</v>
      </c>
      <c r="E64" s="72"/>
      <c r="F64" s="72" t="s">
        <v>35</v>
      </c>
      <c r="G64" s="72" t="s">
        <v>14118</v>
      </c>
      <c r="H64" s="72"/>
      <c r="I64" s="72" t="s">
        <v>15087</v>
      </c>
      <c r="J64" s="74" t="str">
        <f t="shared" si="4"/>
        <v/>
      </c>
      <c r="K64" s="72"/>
      <c r="L64" s="72"/>
      <c r="M64" s="72" t="s">
        <v>14995</v>
      </c>
      <c r="N64" s="74">
        <f t="shared" si="5"/>
        <v>-2</v>
      </c>
    </row>
    <row r="65" spans="1:14" ht="14.45" customHeight="1" x14ac:dyDescent="0.2">
      <c r="A65" s="72" t="s">
        <v>15065</v>
      </c>
      <c r="B65" s="72" t="s">
        <v>13785</v>
      </c>
      <c r="C65" s="72" t="s">
        <v>14119</v>
      </c>
      <c r="D65" s="72" t="s">
        <v>1513</v>
      </c>
      <c r="E65" s="72"/>
      <c r="F65" s="72" t="s">
        <v>35</v>
      </c>
      <c r="G65" s="72" t="s">
        <v>14120</v>
      </c>
      <c r="H65" s="72"/>
      <c r="I65" s="72" t="s">
        <v>15087</v>
      </c>
      <c r="J65" s="74" t="str">
        <f t="shared" si="4"/>
        <v/>
      </c>
      <c r="K65" s="72"/>
      <c r="L65" s="72"/>
      <c r="M65" s="72" t="s">
        <v>14998</v>
      </c>
      <c r="N65" s="74">
        <f t="shared" si="5"/>
        <v>-4</v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4"/>
        <v/>
      </c>
      <c r="K66" s="72"/>
      <c r="L66" s="72"/>
      <c r="M66" s="72"/>
      <c r="N66" s="74" t="str">
        <f t="shared" si="5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si="4"/>
        <v/>
      </c>
      <c r="K67" s="72"/>
      <c r="L67" s="72"/>
      <c r="M67" s="72"/>
      <c r="N67" s="74" t="str">
        <f t="shared" si="5"/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ref="J106:J169" si="6">IF(OR(H106&lt;0,H106=""), "",I106-H106)</f>
        <v/>
      </c>
      <c r="K106" s="72"/>
      <c r="L106" s="72"/>
      <c r="M106" s="72"/>
      <c r="N106" s="74" t="str">
        <f t="shared" ref="N106:N169" si="7">IF(OR(M106&lt;0,M106=""), "",I106-M106)</f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6"/>
        <v/>
      </c>
      <c r="K107" s="72"/>
      <c r="L107" s="72"/>
      <c r="M107" s="72"/>
      <c r="N107" s="74" t="str">
        <f t="shared" si="7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6"/>
        <v/>
      </c>
      <c r="K108" s="72"/>
      <c r="L108" s="72"/>
      <c r="M108" s="72"/>
      <c r="N108" s="74" t="str">
        <f t="shared" si="7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6"/>
        <v/>
      </c>
      <c r="K109" s="72"/>
      <c r="L109" s="72"/>
      <c r="M109" s="72"/>
      <c r="N109" s="74" t="str">
        <f t="shared" si="7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6"/>
        <v/>
      </c>
      <c r="K110" s="72"/>
      <c r="L110" s="72"/>
      <c r="M110" s="72"/>
      <c r="N110" s="74" t="str">
        <f t="shared" si="7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6"/>
        <v/>
      </c>
      <c r="K111" s="72"/>
      <c r="L111" s="72"/>
      <c r="M111" s="72"/>
      <c r="N111" s="74" t="str">
        <f t="shared" si="7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6"/>
        <v/>
      </c>
      <c r="K112" s="72"/>
      <c r="L112" s="72"/>
      <c r="M112" s="72"/>
      <c r="N112" s="74" t="str">
        <f t="shared" si="7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6"/>
        <v/>
      </c>
      <c r="K113" s="72"/>
      <c r="L113" s="72"/>
      <c r="M113" s="72"/>
      <c r="N113" s="74" t="str">
        <f t="shared" si="7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6"/>
        <v/>
      </c>
      <c r="K114" s="72"/>
      <c r="L114" s="72"/>
      <c r="M114" s="72"/>
      <c r="N114" s="74" t="str">
        <f t="shared" si="7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6"/>
        <v/>
      </c>
      <c r="K115" s="72"/>
      <c r="L115" s="72"/>
      <c r="M115" s="72"/>
      <c r="N115" s="74" t="str">
        <f t="shared" si="7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6"/>
        <v/>
      </c>
      <c r="K116" s="72"/>
      <c r="L116" s="72"/>
      <c r="M116" s="72"/>
      <c r="N116" s="74" t="str">
        <f t="shared" si="7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6"/>
        <v/>
      </c>
      <c r="K117" s="72"/>
      <c r="L117" s="72"/>
      <c r="M117" s="72"/>
      <c r="N117" s="74" t="str">
        <f t="shared" si="7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6"/>
        <v/>
      </c>
      <c r="K118" s="72"/>
      <c r="L118" s="72"/>
      <c r="M118" s="72"/>
      <c r="N118" s="74" t="str">
        <f t="shared" si="7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6"/>
        <v/>
      </c>
      <c r="K119" s="72"/>
      <c r="L119" s="72"/>
      <c r="M119" s="72"/>
      <c r="N119" s="74" t="str">
        <f t="shared" si="7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6"/>
        <v/>
      </c>
      <c r="K120" s="72"/>
      <c r="L120" s="72"/>
      <c r="M120" s="72"/>
      <c r="N120" s="74" t="str">
        <f t="shared" si="7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6"/>
        <v/>
      </c>
      <c r="K121" s="72"/>
      <c r="L121" s="72"/>
      <c r="M121" s="72"/>
      <c r="N121" s="74" t="str">
        <f t="shared" si="7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6"/>
        <v/>
      </c>
      <c r="K122" s="72"/>
      <c r="L122" s="72"/>
      <c r="M122" s="72"/>
      <c r="N122" s="74" t="str">
        <f t="shared" si="7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6"/>
        <v/>
      </c>
      <c r="K123" s="72"/>
      <c r="L123" s="72"/>
      <c r="M123" s="72"/>
      <c r="N123" s="74" t="str">
        <f t="shared" si="7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6"/>
        <v/>
      </c>
      <c r="K124" s="72"/>
      <c r="L124" s="72"/>
      <c r="M124" s="72"/>
      <c r="N124" s="74" t="str">
        <f t="shared" si="7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6"/>
        <v/>
      </c>
      <c r="K125" s="72"/>
      <c r="L125" s="72"/>
      <c r="M125" s="72"/>
      <c r="N125" s="74" t="str">
        <f t="shared" si="7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6"/>
        <v/>
      </c>
      <c r="K126" s="72"/>
      <c r="L126" s="72"/>
      <c r="M126" s="72"/>
      <c r="N126" s="74" t="str">
        <f t="shared" si="7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6"/>
        <v/>
      </c>
      <c r="K127" s="72"/>
      <c r="L127" s="72"/>
      <c r="M127" s="72"/>
      <c r="N127" s="74" t="str">
        <f t="shared" si="7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6"/>
        <v/>
      </c>
      <c r="K128" s="72"/>
      <c r="L128" s="72"/>
      <c r="M128" s="72"/>
      <c r="N128" s="74" t="str">
        <f t="shared" si="7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6"/>
        <v/>
      </c>
      <c r="K129" s="72"/>
      <c r="L129" s="72"/>
      <c r="M129" s="72"/>
      <c r="N129" s="74" t="str">
        <f t="shared" si="7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6"/>
        <v/>
      </c>
      <c r="K130" s="72"/>
      <c r="L130" s="72"/>
      <c r="M130" s="72"/>
      <c r="N130" s="74" t="str">
        <f t="shared" si="7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si="6"/>
        <v/>
      </c>
      <c r="K131" s="72"/>
      <c r="L131" s="72"/>
      <c r="M131" s="72"/>
      <c r="N131" s="74" t="str">
        <f t="shared" si="7"/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ref="J170:J233" si="8">IF(OR(H170&lt;0,H170=""), "",I170-H170)</f>
        <v/>
      </c>
      <c r="K170" s="72"/>
      <c r="L170" s="72"/>
      <c r="M170" s="72"/>
      <c r="N170" s="74" t="str">
        <f t="shared" ref="N170:N233" si="9">IF(OR(M170&lt;0,M170=""), "",I170-M170)</f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8"/>
        <v/>
      </c>
      <c r="K171" s="72"/>
      <c r="L171" s="72"/>
      <c r="M171" s="72"/>
      <c r="N171" s="74" t="str">
        <f t="shared" si="9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8"/>
        <v/>
      </c>
      <c r="K172" s="72"/>
      <c r="L172" s="72"/>
      <c r="M172" s="72"/>
      <c r="N172" s="74" t="str">
        <f t="shared" si="9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8"/>
        <v/>
      </c>
      <c r="K173" s="72"/>
      <c r="L173" s="72"/>
      <c r="M173" s="72"/>
      <c r="N173" s="74" t="str">
        <f t="shared" si="9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8"/>
        <v/>
      </c>
      <c r="K174" s="72"/>
      <c r="L174" s="72"/>
      <c r="M174" s="72"/>
      <c r="N174" s="74" t="str">
        <f t="shared" si="9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8"/>
        <v/>
      </c>
      <c r="K175" s="72"/>
      <c r="L175" s="72"/>
      <c r="M175" s="72"/>
      <c r="N175" s="74" t="str">
        <f t="shared" si="9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8"/>
        <v/>
      </c>
      <c r="K176" s="72"/>
      <c r="L176" s="72"/>
      <c r="M176" s="72"/>
      <c r="N176" s="74" t="str">
        <f t="shared" si="9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8"/>
        <v/>
      </c>
      <c r="K177" s="72"/>
      <c r="L177" s="72"/>
      <c r="M177" s="72"/>
      <c r="N177" s="74" t="str">
        <f t="shared" si="9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8"/>
        <v/>
      </c>
      <c r="K178" s="72"/>
      <c r="L178" s="72"/>
      <c r="M178" s="72"/>
      <c r="N178" s="74" t="str">
        <f t="shared" si="9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8"/>
        <v/>
      </c>
      <c r="K179" s="72"/>
      <c r="L179" s="72"/>
      <c r="M179" s="72"/>
      <c r="N179" s="74" t="str">
        <f t="shared" si="9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8"/>
        <v/>
      </c>
      <c r="K180" s="72"/>
      <c r="L180" s="72"/>
      <c r="M180" s="72"/>
      <c r="N180" s="74" t="str">
        <f t="shared" si="9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8"/>
        <v/>
      </c>
      <c r="K181" s="72"/>
      <c r="L181" s="72"/>
      <c r="M181" s="72"/>
      <c r="N181" s="74" t="str">
        <f t="shared" si="9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8"/>
        <v/>
      </c>
      <c r="K182" s="72"/>
      <c r="L182" s="72"/>
      <c r="M182" s="72"/>
      <c r="N182" s="74" t="str">
        <f t="shared" si="9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8"/>
        <v/>
      </c>
      <c r="K183" s="72"/>
      <c r="L183" s="72"/>
      <c r="M183" s="72"/>
      <c r="N183" s="74" t="str">
        <f t="shared" si="9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8"/>
        <v/>
      </c>
      <c r="K184" s="72"/>
      <c r="L184" s="72"/>
      <c r="M184" s="72"/>
      <c r="N184" s="74" t="str">
        <f t="shared" si="9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8"/>
        <v/>
      </c>
      <c r="K185" s="72"/>
      <c r="L185" s="72"/>
      <c r="M185" s="72"/>
      <c r="N185" s="74" t="str">
        <f t="shared" si="9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8"/>
        <v/>
      </c>
      <c r="K186" s="72"/>
      <c r="L186" s="72"/>
      <c r="M186" s="72"/>
      <c r="N186" s="74" t="str">
        <f t="shared" si="9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8"/>
        <v/>
      </c>
      <c r="K187" s="72"/>
      <c r="L187" s="72"/>
      <c r="M187" s="72"/>
      <c r="N187" s="74" t="str">
        <f t="shared" si="9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8"/>
        <v/>
      </c>
      <c r="K188" s="72"/>
      <c r="L188" s="72"/>
      <c r="M188" s="72"/>
      <c r="N188" s="74" t="str">
        <f t="shared" si="9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8"/>
        <v/>
      </c>
      <c r="K189" s="72"/>
      <c r="L189" s="72"/>
      <c r="M189" s="72"/>
      <c r="N189" s="74" t="str">
        <f t="shared" si="9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8"/>
        <v/>
      </c>
      <c r="K190" s="72"/>
      <c r="L190" s="72"/>
      <c r="M190" s="72"/>
      <c r="N190" s="74" t="str">
        <f t="shared" si="9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8"/>
        <v/>
      </c>
      <c r="K191" s="72"/>
      <c r="L191" s="72"/>
      <c r="M191" s="72"/>
      <c r="N191" s="74" t="str">
        <f t="shared" si="9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8"/>
        <v/>
      </c>
      <c r="K192" s="72"/>
      <c r="L192" s="72"/>
      <c r="M192" s="72"/>
      <c r="N192" s="74" t="str">
        <f t="shared" si="9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8"/>
        <v/>
      </c>
      <c r="K193" s="72"/>
      <c r="L193" s="72"/>
      <c r="M193" s="72"/>
      <c r="N193" s="74" t="str">
        <f t="shared" si="9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8"/>
        <v/>
      </c>
      <c r="K194" s="72"/>
      <c r="L194" s="72"/>
      <c r="M194" s="72"/>
      <c r="N194" s="74" t="str">
        <f t="shared" si="9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si="8"/>
        <v/>
      </c>
      <c r="K195" s="72"/>
      <c r="L195" s="72"/>
      <c r="M195" s="72"/>
      <c r="N195" s="74" t="str">
        <f t="shared" si="9"/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ref="J234:J297" si="10">IF(OR(H234&lt;0,H234=""), "",I234-H234)</f>
        <v/>
      </c>
      <c r="K234" s="72"/>
      <c r="L234" s="72"/>
      <c r="M234" s="72"/>
      <c r="N234" s="74" t="str">
        <f t="shared" ref="N234:N297" si="11">IF(OR(M234&lt;0,M234=""), "",I234-M234)</f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10"/>
        <v/>
      </c>
      <c r="K235" s="72"/>
      <c r="L235" s="72"/>
      <c r="M235" s="72"/>
      <c r="N235" s="74" t="str">
        <f t="shared" si="11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10"/>
        <v/>
      </c>
      <c r="K236" s="72"/>
      <c r="L236" s="72"/>
      <c r="M236" s="72"/>
      <c r="N236" s="74" t="str">
        <f t="shared" si="11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10"/>
        <v/>
      </c>
      <c r="K237" s="72"/>
      <c r="L237" s="72"/>
      <c r="M237" s="72"/>
      <c r="N237" s="74" t="str">
        <f t="shared" si="11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10"/>
        <v/>
      </c>
      <c r="K238" s="72"/>
      <c r="L238" s="72"/>
      <c r="M238" s="72"/>
      <c r="N238" s="74" t="str">
        <f t="shared" si="11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10"/>
        <v/>
      </c>
      <c r="K239" s="72"/>
      <c r="L239" s="72"/>
      <c r="M239" s="72"/>
      <c r="N239" s="74" t="str">
        <f t="shared" si="11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10"/>
        <v/>
      </c>
      <c r="K240" s="72"/>
      <c r="L240" s="72"/>
      <c r="M240" s="72"/>
      <c r="N240" s="74" t="str">
        <f t="shared" si="11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10"/>
        <v/>
      </c>
      <c r="K241" s="72"/>
      <c r="L241" s="72"/>
      <c r="M241" s="72"/>
      <c r="N241" s="74" t="str">
        <f t="shared" si="11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10"/>
        <v/>
      </c>
      <c r="K242" s="72"/>
      <c r="L242" s="72"/>
      <c r="M242" s="72"/>
      <c r="N242" s="74" t="str">
        <f t="shared" si="11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10"/>
        <v/>
      </c>
      <c r="K243" s="72"/>
      <c r="L243" s="72"/>
      <c r="M243" s="72"/>
      <c r="N243" s="74" t="str">
        <f t="shared" si="11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10"/>
        <v/>
      </c>
      <c r="K244" s="72"/>
      <c r="L244" s="72"/>
      <c r="M244" s="72"/>
      <c r="N244" s="74" t="str">
        <f t="shared" si="11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10"/>
        <v/>
      </c>
      <c r="K245" s="72"/>
      <c r="L245" s="72"/>
      <c r="M245" s="72"/>
      <c r="N245" s="74" t="str">
        <f t="shared" si="11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10"/>
        <v/>
      </c>
      <c r="K246" s="72"/>
      <c r="L246" s="72"/>
      <c r="M246" s="72"/>
      <c r="N246" s="74" t="str">
        <f t="shared" si="11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10"/>
        <v/>
      </c>
      <c r="K247" s="72"/>
      <c r="L247" s="72"/>
      <c r="M247" s="72"/>
      <c r="N247" s="74" t="str">
        <f t="shared" si="11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10"/>
        <v/>
      </c>
      <c r="K248" s="72"/>
      <c r="L248" s="72"/>
      <c r="M248" s="72"/>
      <c r="N248" s="74" t="str">
        <f t="shared" si="11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10"/>
        <v/>
      </c>
      <c r="K249" s="72"/>
      <c r="L249" s="72"/>
      <c r="M249" s="72"/>
      <c r="N249" s="74" t="str">
        <f t="shared" si="11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10"/>
        <v/>
      </c>
      <c r="K250" s="72"/>
      <c r="L250" s="72"/>
      <c r="M250" s="72"/>
      <c r="N250" s="74" t="str">
        <f t="shared" si="11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10"/>
        <v/>
      </c>
      <c r="K251" s="72"/>
      <c r="L251" s="72"/>
      <c r="M251" s="72"/>
      <c r="N251" s="74" t="str">
        <f t="shared" si="11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10"/>
        <v/>
      </c>
      <c r="K252" s="72"/>
      <c r="L252" s="72"/>
      <c r="M252" s="72"/>
      <c r="N252" s="74" t="str">
        <f t="shared" si="11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10"/>
        <v/>
      </c>
      <c r="K253" s="72"/>
      <c r="L253" s="72"/>
      <c r="M253" s="72"/>
      <c r="N253" s="74" t="str">
        <f t="shared" si="11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10"/>
        <v/>
      </c>
      <c r="K254" s="72"/>
      <c r="L254" s="72"/>
      <c r="M254" s="72"/>
      <c r="N254" s="74" t="str">
        <f t="shared" si="11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10"/>
        <v/>
      </c>
      <c r="K255" s="72"/>
      <c r="L255" s="72"/>
      <c r="M255" s="72"/>
      <c r="N255" s="74" t="str">
        <f t="shared" si="11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10"/>
        <v/>
      </c>
      <c r="K256" s="72"/>
      <c r="L256" s="72"/>
      <c r="M256" s="72"/>
      <c r="N256" s="74" t="str">
        <f t="shared" si="11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10"/>
        <v/>
      </c>
      <c r="K257" s="72"/>
      <c r="L257" s="72"/>
      <c r="M257" s="72"/>
      <c r="N257" s="74" t="str">
        <f t="shared" si="11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10"/>
        <v/>
      </c>
      <c r="K258" s="72"/>
      <c r="L258" s="72"/>
      <c r="M258" s="72"/>
      <c r="N258" s="74" t="str">
        <f t="shared" si="11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si="10"/>
        <v/>
      </c>
      <c r="K259" s="72"/>
      <c r="L259" s="72"/>
      <c r="M259" s="72"/>
      <c r="N259" s="74" t="str">
        <f t="shared" si="11"/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ref="J298:J361" si="12">IF(OR(H298&lt;0,H298=""), "",I298-H298)</f>
        <v/>
      </c>
      <c r="K298" s="72"/>
      <c r="L298" s="72"/>
      <c r="M298" s="72"/>
      <c r="N298" s="74" t="str">
        <f t="shared" ref="N298:N361" si="13">IF(OR(M298&lt;0,M298=""), "",I298-M298)</f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2"/>
        <v/>
      </c>
      <c r="K299" s="72"/>
      <c r="L299" s="72"/>
      <c r="M299" s="72"/>
      <c r="N299" s="74" t="str">
        <f t="shared" si="13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2"/>
        <v/>
      </c>
      <c r="K300" s="72"/>
      <c r="L300" s="72"/>
      <c r="M300" s="72"/>
      <c r="N300" s="74" t="str">
        <f t="shared" si="13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2"/>
        <v/>
      </c>
      <c r="K301" s="72"/>
      <c r="L301" s="72"/>
      <c r="M301" s="72"/>
      <c r="N301" s="74" t="str">
        <f t="shared" si="13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2"/>
        <v/>
      </c>
      <c r="K302" s="72"/>
      <c r="L302" s="72"/>
      <c r="M302" s="72"/>
      <c r="N302" s="74" t="str">
        <f t="shared" si="13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2"/>
        <v/>
      </c>
      <c r="K303" s="72"/>
      <c r="L303" s="72"/>
      <c r="M303" s="72"/>
      <c r="N303" s="74" t="str">
        <f t="shared" si="13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2"/>
        <v/>
      </c>
      <c r="K304" s="72"/>
      <c r="L304" s="72"/>
      <c r="M304" s="72"/>
      <c r="N304" s="74" t="str">
        <f t="shared" si="13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2"/>
        <v/>
      </c>
      <c r="K305" s="72"/>
      <c r="L305" s="72"/>
      <c r="M305" s="72"/>
      <c r="N305" s="74" t="str">
        <f t="shared" si="13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2"/>
        <v/>
      </c>
      <c r="K306" s="72"/>
      <c r="L306" s="72"/>
      <c r="M306" s="72"/>
      <c r="N306" s="74" t="str">
        <f t="shared" si="13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2"/>
        <v/>
      </c>
      <c r="K307" s="72"/>
      <c r="L307" s="72"/>
      <c r="M307" s="72"/>
      <c r="N307" s="74" t="str">
        <f t="shared" si="13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2"/>
        <v/>
      </c>
      <c r="K308" s="72"/>
      <c r="L308" s="72"/>
      <c r="M308" s="72"/>
      <c r="N308" s="74" t="str">
        <f t="shared" si="13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2"/>
        <v/>
      </c>
      <c r="K309" s="72"/>
      <c r="L309" s="72"/>
      <c r="M309" s="72"/>
      <c r="N309" s="74" t="str">
        <f t="shared" si="13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2"/>
        <v/>
      </c>
      <c r="K310" s="72"/>
      <c r="L310" s="72"/>
      <c r="M310" s="72"/>
      <c r="N310" s="74" t="str">
        <f t="shared" si="13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2"/>
        <v/>
      </c>
      <c r="K311" s="72"/>
      <c r="L311" s="72"/>
      <c r="M311" s="72"/>
      <c r="N311" s="74" t="str">
        <f t="shared" si="13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2"/>
        <v/>
      </c>
      <c r="K312" s="72"/>
      <c r="L312" s="72"/>
      <c r="M312" s="72"/>
      <c r="N312" s="74" t="str">
        <f t="shared" si="13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2"/>
        <v/>
      </c>
      <c r="K313" s="72"/>
      <c r="L313" s="72"/>
      <c r="M313" s="72"/>
      <c r="N313" s="74" t="str">
        <f t="shared" si="13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2"/>
        <v/>
      </c>
      <c r="K314" s="72"/>
      <c r="L314" s="72"/>
      <c r="M314" s="72"/>
      <c r="N314" s="74" t="str">
        <f t="shared" si="13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2"/>
        <v/>
      </c>
      <c r="K315" s="72"/>
      <c r="L315" s="72"/>
      <c r="M315" s="72"/>
      <c r="N315" s="74" t="str">
        <f t="shared" si="13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2"/>
        <v/>
      </c>
      <c r="K316" s="72"/>
      <c r="L316" s="72"/>
      <c r="M316" s="72"/>
      <c r="N316" s="74" t="str">
        <f t="shared" si="13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2"/>
        <v/>
      </c>
      <c r="K317" s="72"/>
      <c r="L317" s="72"/>
      <c r="M317" s="72"/>
      <c r="N317" s="74" t="str">
        <f t="shared" si="13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2"/>
        <v/>
      </c>
      <c r="K318" s="72"/>
      <c r="L318" s="72"/>
      <c r="M318" s="72"/>
      <c r="N318" s="74" t="str">
        <f t="shared" si="13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2"/>
        <v/>
      </c>
      <c r="K319" s="72"/>
      <c r="L319" s="72"/>
      <c r="M319" s="72"/>
      <c r="N319" s="74" t="str">
        <f t="shared" si="13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2"/>
        <v/>
      </c>
      <c r="K320" s="72"/>
      <c r="L320" s="72"/>
      <c r="M320" s="72"/>
      <c r="N320" s="74" t="str">
        <f t="shared" si="13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2"/>
        <v/>
      </c>
      <c r="K321" s="72"/>
      <c r="L321" s="72"/>
      <c r="M321" s="72"/>
      <c r="N321" s="74" t="str">
        <f t="shared" si="13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2"/>
        <v/>
      </c>
      <c r="K322" s="72"/>
      <c r="L322" s="72"/>
      <c r="M322" s="72"/>
      <c r="N322" s="74" t="str">
        <f t="shared" si="13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si="12"/>
        <v/>
      </c>
      <c r="K323" s="72"/>
      <c r="L323" s="72"/>
      <c r="M323" s="72"/>
      <c r="N323" s="74" t="str">
        <f t="shared" si="13"/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ref="J362:J425" si="14">IF(OR(H362&lt;0,H362=""), "",I362-H362)</f>
        <v/>
      </c>
      <c r="K362" s="72"/>
      <c r="L362" s="72"/>
      <c r="M362" s="72"/>
      <c r="N362" s="74" t="str">
        <f t="shared" ref="N362:N425" si="15">IF(OR(M362&lt;0,M362=""), "",I362-M362)</f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4"/>
        <v/>
      </c>
      <c r="K363" s="72"/>
      <c r="L363" s="72"/>
      <c r="M363" s="72"/>
      <c r="N363" s="74" t="str">
        <f t="shared" si="15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4"/>
        <v/>
      </c>
      <c r="K364" s="72"/>
      <c r="L364" s="72"/>
      <c r="M364" s="72"/>
      <c r="N364" s="74" t="str">
        <f t="shared" si="15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4"/>
        <v/>
      </c>
      <c r="K365" s="72"/>
      <c r="L365" s="72"/>
      <c r="M365" s="72"/>
      <c r="N365" s="74" t="str">
        <f t="shared" si="15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4"/>
        <v/>
      </c>
      <c r="K366" s="72"/>
      <c r="L366" s="72"/>
      <c r="M366" s="72"/>
      <c r="N366" s="74" t="str">
        <f t="shared" si="15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4"/>
        <v/>
      </c>
      <c r="K367" s="72"/>
      <c r="L367" s="72"/>
      <c r="M367" s="72"/>
      <c r="N367" s="74" t="str">
        <f t="shared" si="15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4"/>
        <v/>
      </c>
      <c r="K368" s="72"/>
      <c r="L368" s="72"/>
      <c r="M368" s="72"/>
      <c r="N368" s="74" t="str">
        <f t="shared" si="15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4"/>
        <v/>
      </c>
      <c r="K369" s="72"/>
      <c r="L369" s="72"/>
      <c r="M369" s="72"/>
      <c r="N369" s="74" t="str">
        <f t="shared" si="15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4"/>
        <v/>
      </c>
      <c r="K370" s="72"/>
      <c r="L370" s="72"/>
      <c r="M370" s="72"/>
      <c r="N370" s="74" t="str">
        <f t="shared" si="15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4"/>
        <v/>
      </c>
      <c r="K371" s="72"/>
      <c r="L371" s="72"/>
      <c r="M371" s="72"/>
      <c r="N371" s="74" t="str">
        <f t="shared" si="15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4"/>
        <v/>
      </c>
      <c r="K372" s="72"/>
      <c r="L372" s="72"/>
      <c r="M372" s="72"/>
      <c r="N372" s="74" t="str">
        <f t="shared" si="15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4"/>
        <v/>
      </c>
      <c r="K373" s="72"/>
      <c r="L373" s="72"/>
      <c r="M373" s="72"/>
      <c r="N373" s="74" t="str">
        <f t="shared" si="15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4"/>
        <v/>
      </c>
      <c r="K374" s="72"/>
      <c r="L374" s="72"/>
      <c r="M374" s="72"/>
      <c r="N374" s="74" t="str">
        <f t="shared" si="15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4"/>
        <v/>
      </c>
      <c r="K375" s="72"/>
      <c r="L375" s="72"/>
      <c r="M375" s="72"/>
      <c r="N375" s="74" t="str">
        <f t="shared" si="15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4"/>
        <v/>
      </c>
      <c r="K376" s="72"/>
      <c r="L376" s="72"/>
      <c r="M376" s="72"/>
      <c r="N376" s="74" t="str">
        <f t="shared" si="15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4"/>
        <v/>
      </c>
      <c r="K377" s="72"/>
      <c r="L377" s="72"/>
      <c r="M377" s="72"/>
      <c r="N377" s="74" t="str">
        <f t="shared" si="15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4"/>
        <v/>
      </c>
      <c r="K378" s="72"/>
      <c r="L378" s="72"/>
      <c r="M378" s="72"/>
      <c r="N378" s="74" t="str">
        <f t="shared" si="15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4"/>
        <v/>
      </c>
      <c r="K379" s="72"/>
      <c r="L379" s="72"/>
      <c r="M379" s="72"/>
      <c r="N379" s="74" t="str">
        <f t="shared" si="15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4"/>
        <v/>
      </c>
      <c r="K380" s="72"/>
      <c r="L380" s="72"/>
      <c r="M380" s="72"/>
      <c r="N380" s="74" t="str">
        <f t="shared" si="15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4"/>
        <v/>
      </c>
      <c r="K381" s="72"/>
      <c r="L381" s="72"/>
      <c r="M381" s="72"/>
      <c r="N381" s="74" t="str">
        <f t="shared" si="15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4"/>
        <v/>
      </c>
      <c r="K382" s="72"/>
      <c r="L382" s="72"/>
      <c r="M382" s="72"/>
      <c r="N382" s="74" t="str">
        <f t="shared" si="15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4"/>
        <v/>
      </c>
      <c r="K383" s="72"/>
      <c r="L383" s="72"/>
      <c r="M383" s="72"/>
      <c r="N383" s="74" t="str">
        <f t="shared" si="15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4"/>
        <v/>
      </c>
      <c r="K384" s="72"/>
      <c r="L384" s="72"/>
      <c r="M384" s="72"/>
      <c r="N384" s="74" t="str">
        <f t="shared" si="15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4"/>
        <v/>
      </c>
      <c r="K385" s="72"/>
      <c r="L385" s="72"/>
      <c r="M385" s="72"/>
      <c r="N385" s="74" t="str">
        <f t="shared" si="15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4"/>
        <v/>
      </c>
      <c r="K386" s="72"/>
      <c r="L386" s="72"/>
      <c r="M386" s="72"/>
      <c r="N386" s="74" t="str">
        <f t="shared" si="15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si="14"/>
        <v/>
      </c>
      <c r="K387" s="72"/>
      <c r="L387" s="72"/>
      <c r="M387" s="72"/>
      <c r="N387" s="74" t="str">
        <f t="shared" si="15"/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ref="J426:J489" si="16">IF(OR(H426&lt;0,H426=""), "",I426-H426)</f>
        <v/>
      </c>
      <c r="K426" s="72"/>
      <c r="L426" s="72"/>
      <c r="M426" s="72"/>
      <c r="N426" s="74" t="str">
        <f t="shared" ref="N426:N489" si="17">IF(OR(M426&lt;0,M426=""), "",I426-M426)</f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6"/>
        <v/>
      </c>
      <c r="K427" s="72"/>
      <c r="L427" s="72"/>
      <c r="M427" s="72"/>
      <c r="N427" s="74" t="str">
        <f t="shared" si="17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6"/>
        <v/>
      </c>
      <c r="K428" s="72"/>
      <c r="L428" s="72"/>
      <c r="M428" s="72"/>
      <c r="N428" s="74" t="str">
        <f t="shared" si="17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6"/>
        <v/>
      </c>
      <c r="K429" s="72"/>
      <c r="L429" s="72"/>
      <c r="M429" s="72"/>
      <c r="N429" s="74" t="str">
        <f t="shared" si="17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6"/>
        <v/>
      </c>
      <c r="K430" s="72"/>
      <c r="L430" s="72"/>
      <c r="M430" s="72"/>
      <c r="N430" s="74" t="str">
        <f t="shared" si="17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6"/>
        <v/>
      </c>
      <c r="K431" s="72"/>
      <c r="L431" s="72"/>
      <c r="M431" s="72"/>
      <c r="N431" s="74" t="str">
        <f t="shared" si="17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6"/>
        <v/>
      </c>
      <c r="K432" s="72"/>
      <c r="L432" s="72"/>
      <c r="M432" s="72"/>
      <c r="N432" s="74" t="str">
        <f t="shared" si="17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6"/>
        <v/>
      </c>
      <c r="K433" s="72"/>
      <c r="L433" s="72"/>
      <c r="M433" s="72"/>
      <c r="N433" s="74" t="str">
        <f t="shared" si="17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6"/>
        <v/>
      </c>
      <c r="K434" s="72"/>
      <c r="L434" s="72"/>
      <c r="M434" s="72"/>
      <c r="N434" s="74" t="str">
        <f t="shared" si="17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6"/>
        <v/>
      </c>
      <c r="K435" s="72"/>
      <c r="L435" s="72"/>
      <c r="M435" s="72"/>
      <c r="N435" s="74" t="str">
        <f t="shared" si="17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6"/>
        <v/>
      </c>
      <c r="K436" s="72"/>
      <c r="L436" s="72"/>
      <c r="M436" s="72"/>
      <c r="N436" s="74" t="str">
        <f t="shared" si="17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6"/>
        <v/>
      </c>
      <c r="K437" s="72"/>
      <c r="L437" s="72"/>
      <c r="M437" s="72"/>
      <c r="N437" s="74" t="str">
        <f t="shared" si="17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6"/>
        <v/>
      </c>
      <c r="K438" s="72"/>
      <c r="L438" s="72"/>
      <c r="M438" s="72"/>
      <c r="N438" s="74" t="str">
        <f t="shared" si="17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6"/>
        <v/>
      </c>
      <c r="K439" s="72"/>
      <c r="L439" s="72"/>
      <c r="M439" s="72"/>
      <c r="N439" s="74" t="str">
        <f t="shared" si="17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6"/>
        <v/>
      </c>
      <c r="K440" s="72"/>
      <c r="L440" s="72"/>
      <c r="M440" s="72"/>
      <c r="N440" s="74" t="str">
        <f t="shared" si="17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6"/>
        <v/>
      </c>
      <c r="K441" s="72"/>
      <c r="L441" s="72"/>
      <c r="M441" s="72"/>
      <c r="N441" s="74" t="str">
        <f t="shared" si="17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6"/>
        <v/>
      </c>
      <c r="K442" s="72"/>
      <c r="L442" s="72"/>
      <c r="M442" s="72"/>
      <c r="N442" s="74" t="str">
        <f t="shared" si="17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6"/>
        <v/>
      </c>
      <c r="K443" s="72"/>
      <c r="L443" s="72"/>
      <c r="M443" s="72"/>
      <c r="N443" s="74" t="str">
        <f t="shared" si="17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6"/>
        <v/>
      </c>
      <c r="K444" s="72"/>
      <c r="L444" s="72"/>
      <c r="M444" s="72"/>
      <c r="N444" s="74" t="str">
        <f t="shared" si="17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6"/>
        <v/>
      </c>
      <c r="K445" s="72"/>
      <c r="L445" s="72"/>
      <c r="M445" s="72"/>
      <c r="N445" s="74" t="str">
        <f t="shared" si="17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6"/>
        <v/>
      </c>
      <c r="K446" s="72"/>
      <c r="L446" s="72"/>
      <c r="M446" s="72"/>
      <c r="N446" s="74" t="str">
        <f t="shared" si="17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6"/>
        <v/>
      </c>
      <c r="K447" s="72"/>
      <c r="L447" s="72"/>
      <c r="M447" s="72"/>
      <c r="N447" s="74" t="str">
        <f t="shared" si="17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6"/>
        <v/>
      </c>
      <c r="K448" s="72"/>
      <c r="L448" s="72"/>
      <c r="M448" s="72"/>
      <c r="N448" s="74" t="str">
        <f t="shared" si="17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6"/>
        <v/>
      </c>
      <c r="K449" s="72"/>
      <c r="L449" s="72"/>
      <c r="M449" s="72"/>
      <c r="N449" s="74" t="str">
        <f t="shared" si="17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6"/>
        <v/>
      </c>
      <c r="K450" s="72"/>
      <c r="L450" s="72"/>
      <c r="M450" s="72"/>
      <c r="N450" s="74" t="str">
        <f t="shared" si="17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si="16"/>
        <v/>
      </c>
      <c r="K451" s="72"/>
      <c r="L451" s="72"/>
      <c r="M451" s="72"/>
      <c r="N451" s="74" t="str">
        <f t="shared" si="17"/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ref="J490:J553" si="18">IF(OR(H490&lt;0,H490=""), "",I490-H490)</f>
        <v/>
      </c>
      <c r="K490" s="72"/>
      <c r="L490" s="72"/>
      <c r="M490" s="72"/>
      <c r="N490" s="74" t="str">
        <f t="shared" ref="N490:N553" si="19">IF(OR(M490&lt;0,M490=""), "",I490-M490)</f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8"/>
        <v/>
      </c>
      <c r="K491" s="72"/>
      <c r="L491" s="72"/>
      <c r="M491" s="72"/>
      <c r="N491" s="74" t="str">
        <f t="shared" si="19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8"/>
        <v/>
      </c>
      <c r="K492" s="72"/>
      <c r="L492" s="72"/>
      <c r="M492" s="72"/>
      <c r="N492" s="74" t="str">
        <f t="shared" si="19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8"/>
        <v/>
      </c>
      <c r="K493" s="72"/>
      <c r="L493" s="72"/>
      <c r="M493" s="72"/>
      <c r="N493" s="74" t="str">
        <f t="shared" si="19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8"/>
        <v/>
      </c>
      <c r="K494" s="72"/>
      <c r="L494" s="72"/>
      <c r="M494" s="72"/>
      <c r="N494" s="74" t="str">
        <f t="shared" si="19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8"/>
        <v/>
      </c>
      <c r="K495" s="72"/>
      <c r="L495" s="72"/>
      <c r="M495" s="72"/>
      <c r="N495" s="74" t="str">
        <f t="shared" si="19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8"/>
        <v/>
      </c>
      <c r="K496" s="72"/>
      <c r="L496" s="72"/>
      <c r="M496" s="72"/>
      <c r="N496" s="74" t="str">
        <f t="shared" si="19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8"/>
        <v/>
      </c>
      <c r="K497" s="72"/>
      <c r="L497" s="72"/>
      <c r="M497" s="72"/>
      <c r="N497" s="74" t="str">
        <f t="shared" si="19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8"/>
        <v/>
      </c>
      <c r="K498" s="72"/>
      <c r="L498" s="72"/>
      <c r="M498" s="72"/>
      <c r="N498" s="74" t="str">
        <f t="shared" si="19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8"/>
        <v/>
      </c>
      <c r="K499" s="72"/>
      <c r="L499" s="72"/>
      <c r="M499" s="72"/>
      <c r="N499" s="74" t="str">
        <f t="shared" si="19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8"/>
        <v/>
      </c>
      <c r="K500" s="72"/>
      <c r="L500" s="72"/>
      <c r="M500" s="72"/>
      <c r="N500" s="74" t="str">
        <f t="shared" si="19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8"/>
        <v/>
      </c>
      <c r="K501" s="72"/>
      <c r="L501" s="72"/>
      <c r="M501" s="72"/>
      <c r="N501" s="74" t="str">
        <f t="shared" si="19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8"/>
        <v/>
      </c>
      <c r="K502" s="72"/>
      <c r="L502" s="72"/>
      <c r="M502" s="72"/>
      <c r="N502" s="74" t="str">
        <f t="shared" si="19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8"/>
        <v/>
      </c>
      <c r="K503" s="72"/>
      <c r="L503" s="72"/>
      <c r="M503" s="72"/>
      <c r="N503" s="74" t="str">
        <f t="shared" si="19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8"/>
        <v/>
      </c>
      <c r="K504" s="72"/>
      <c r="L504" s="72"/>
      <c r="M504" s="72"/>
      <c r="N504" s="74" t="str">
        <f t="shared" si="19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8"/>
        <v/>
      </c>
      <c r="K505" s="72"/>
      <c r="L505" s="72"/>
      <c r="M505" s="72"/>
      <c r="N505" s="74" t="str">
        <f t="shared" si="19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8"/>
        <v/>
      </c>
      <c r="K506" s="72"/>
      <c r="L506" s="72"/>
      <c r="M506" s="72"/>
      <c r="N506" s="74" t="str">
        <f t="shared" si="19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8"/>
        <v/>
      </c>
      <c r="K507" s="72"/>
      <c r="L507" s="72"/>
      <c r="M507" s="72"/>
      <c r="N507" s="74" t="str">
        <f t="shared" si="19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8"/>
        <v/>
      </c>
      <c r="K508" s="72"/>
      <c r="L508" s="72"/>
      <c r="M508" s="72"/>
      <c r="N508" s="74" t="str">
        <f t="shared" si="19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8"/>
        <v/>
      </c>
      <c r="K509" s="72"/>
      <c r="L509" s="72"/>
      <c r="M509" s="72"/>
      <c r="N509" s="74" t="str">
        <f t="shared" si="19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8"/>
        <v/>
      </c>
      <c r="K510" s="72"/>
      <c r="L510" s="72"/>
      <c r="M510" s="72"/>
      <c r="N510" s="74" t="str">
        <f t="shared" si="19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8"/>
        <v/>
      </c>
      <c r="K511" s="72"/>
      <c r="L511" s="72"/>
      <c r="M511" s="72"/>
      <c r="N511" s="74" t="str">
        <f t="shared" si="19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8"/>
        <v/>
      </c>
      <c r="K512" s="72"/>
      <c r="L512" s="72"/>
      <c r="M512" s="72"/>
      <c r="N512" s="74" t="str">
        <f t="shared" si="19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8"/>
        <v/>
      </c>
      <c r="K513" s="72"/>
      <c r="L513" s="72"/>
      <c r="M513" s="72"/>
      <c r="N513" s="74" t="str">
        <f t="shared" si="19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8"/>
        <v/>
      </c>
      <c r="K514" s="72"/>
      <c r="L514" s="72"/>
      <c r="M514" s="72"/>
      <c r="N514" s="74" t="str">
        <f t="shared" si="19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si="18"/>
        <v/>
      </c>
      <c r="K515" s="72"/>
      <c r="L515" s="72"/>
      <c r="M515" s="72"/>
      <c r="N515" s="74" t="str">
        <f t="shared" si="19"/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ref="J554:J617" si="20">IF(OR(H554&lt;0,H554=""), "",I554-H554)</f>
        <v/>
      </c>
      <c r="K554" s="72"/>
      <c r="L554" s="72"/>
      <c r="M554" s="72"/>
      <c r="N554" s="74" t="str">
        <f t="shared" ref="N554:N617" si="21">IF(OR(M554&lt;0,M554=""), "",I554-M554)</f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20"/>
        <v/>
      </c>
      <c r="K555" s="72"/>
      <c r="L555" s="72"/>
      <c r="M555" s="72"/>
      <c r="N555" s="74" t="str">
        <f t="shared" si="21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20"/>
        <v/>
      </c>
      <c r="K556" s="72"/>
      <c r="L556" s="72"/>
      <c r="M556" s="72"/>
      <c r="N556" s="74" t="str">
        <f t="shared" si="21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20"/>
        <v/>
      </c>
      <c r="K557" s="72"/>
      <c r="L557" s="72"/>
      <c r="M557" s="72"/>
      <c r="N557" s="74" t="str">
        <f t="shared" si="21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20"/>
        <v/>
      </c>
      <c r="K558" s="72"/>
      <c r="L558" s="72"/>
      <c r="M558" s="72"/>
      <c r="N558" s="74" t="str">
        <f t="shared" si="21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20"/>
        <v/>
      </c>
      <c r="K559" s="72"/>
      <c r="L559" s="72"/>
      <c r="M559" s="72"/>
      <c r="N559" s="74" t="str">
        <f t="shared" si="21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20"/>
        <v/>
      </c>
      <c r="K560" s="72"/>
      <c r="L560" s="72"/>
      <c r="M560" s="72"/>
      <c r="N560" s="74" t="str">
        <f t="shared" si="21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20"/>
        <v/>
      </c>
      <c r="K561" s="72"/>
      <c r="L561" s="72"/>
      <c r="M561" s="72"/>
      <c r="N561" s="74" t="str">
        <f t="shared" si="21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20"/>
        <v/>
      </c>
      <c r="K562" s="72"/>
      <c r="L562" s="72"/>
      <c r="M562" s="72"/>
      <c r="N562" s="74" t="str">
        <f t="shared" si="21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20"/>
        <v/>
      </c>
      <c r="K563" s="72"/>
      <c r="L563" s="72"/>
      <c r="M563" s="72"/>
      <c r="N563" s="74" t="str">
        <f t="shared" si="21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20"/>
        <v/>
      </c>
      <c r="K564" s="72"/>
      <c r="L564" s="72"/>
      <c r="M564" s="72"/>
      <c r="N564" s="74" t="str">
        <f t="shared" si="21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20"/>
        <v/>
      </c>
      <c r="K565" s="72"/>
      <c r="L565" s="72"/>
      <c r="M565" s="72"/>
      <c r="N565" s="74" t="str">
        <f t="shared" si="21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20"/>
        <v/>
      </c>
      <c r="K566" s="72"/>
      <c r="L566" s="72"/>
      <c r="M566" s="72"/>
      <c r="N566" s="74" t="str">
        <f t="shared" si="21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20"/>
        <v/>
      </c>
      <c r="K567" s="72"/>
      <c r="L567" s="72"/>
      <c r="M567" s="72"/>
      <c r="N567" s="74" t="str">
        <f t="shared" si="21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20"/>
        <v/>
      </c>
      <c r="K568" s="72"/>
      <c r="L568" s="72"/>
      <c r="M568" s="72"/>
      <c r="N568" s="74" t="str">
        <f t="shared" si="21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20"/>
        <v/>
      </c>
      <c r="K569" s="72"/>
      <c r="L569" s="72"/>
      <c r="M569" s="72"/>
      <c r="N569" s="74" t="str">
        <f t="shared" si="21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20"/>
        <v/>
      </c>
      <c r="K570" s="72"/>
      <c r="L570" s="72"/>
      <c r="M570" s="72"/>
      <c r="N570" s="74" t="str">
        <f t="shared" si="21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20"/>
        <v/>
      </c>
      <c r="K571" s="72"/>
      <c r="L571" s="72"/>
      <c r="M571" s="72"/>
      <c r="N571" s="74" t="str">
        <f t="shared" si="21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20"/>
        <v/>
      </c>
      <c r="K572" s="72"/>
      <c r="L572" s="72"/>
      <c r="M572" s="72"/>
      <c r="N572" s="74" t="str">
        <f t="shared" si="21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20"/>
        <v/>
      </c>
      <c r="K573" s="72"/>
      <c r="L573" s="72"/>
      <c r="M573" s="72"/>
      <c r="N573" s="74" t="str">
        <f t="shared" si="21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20"/>
        <v/>
      </c>
      <c r="K574" s="72"/>
      <c r="L574" s="72"/>
      <c r="M574" s="72"/>
      <c r="N574" s="74" t="str">
        <f t="shared" si="21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20"/>
        <v/>
      </c>
      <c r="K575" s="72"/>
      <c r="L575" s="72"/>
      <c r="M575" s="72"/>
      <c r="N575" s="74" t="str">
        <f t="shared" si="21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20"/>
        <v/>
      </c>
      <c r="K576" s="72"/>
      <c r="L576" s="72"/>
      <c r="M576" s="72"/>
      <c r="N576" s="74" t="str">
        <f t="shared" si="21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20"/>
        <v/>
      </c>
      <c r="K577" s="72"/>
      <c r="L577" s="72"/>
      <c r="M577" s="72"/>
      <c r="N577" s="74" t="str">
        <f t="shared" si="21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20"/>
        <v/>
      </c>
      <c r="K578" s="72"/>
      <c r="L578" s="72"/>
      <c r="M578" s="72"/>
      <c r="N578" s="74" t="str">
        <f t="shared" si="21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si="20"/>
        <v/>
      </c>
      <c r="K579" s="72"/>
      <c r="L579" s="72"/>
      <c r="M579" s="72"/>
      <c r="N579" s="74" t="str">
        <f t="shared" si="21"/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ref="J618:J681" si="22">IF(OR(H618&lt;0,H618=""), "",I618-H618)</f>
        <v/>
      </c>
      <c r="K618" s="72"/>
      <c r="L618" s="72"/>
      <c r="M618" s="72"/>
      <c r="N618" s="74" t="str">
        <f t="shared" ref="N618:N681" si="23">IF(OR(M618&lt;0,M618=""), "",I618-M618)</f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2"/>
        <v/>
      </c>
      <c r="K619" s="72"/>
      <c r="L619" s="72"/>
      <c r="M619" s="72"/>
      <c r="N619" s="74" t="str">
        <f t="shared" si="23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2"/>
        <v/>
      </c>
      <c r="K620" s="72"/>
      <c r="L620" s="72"/>
      <c r="M620" s="72"/>
      <c r="N620" s="74" t="str">
        <f t="shared" si="23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2"/>
        <v/>
      </c>
      <c r="K621" s="72"/>
      <c r="L621" s="72"/>
      <c r="M621" s="72"/>
      <c r="N621" s="74" t="str">
        <f t="shared" si="23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2"/>
        <v/>
      </c>
      <c r="K622" s="72"/>
      <c r="L622" s="72"/>
      <c r="M622" s="72"/>
      <c r="N622" s="74" t="str">
        <f t="shared" si="23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2"/>
        <v/>
      </c>
      <c r="K623" s="72"/>
      <c r="L623" s="72"/>
      <c r="M623" s="72"/>
      <c r="N623" s="74" t="str">
        <f t="shared" si="23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2"/>
        <v/>
      </c>
      <c r="K624" s="72"/>
      <c r="L624" s="72"/>
      <c r="M624" s="72"/>
      <c r="N624" s="74" t="str">
        <f t="shared" si="23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2"/>
        <v/>
      </c>
      <c r="K625" s="72"/>
      <c r="L625" s="72"/>
      <c r="M625" s="72"/>
      <c r="N625" s="74" t="str">
        <f t="shared" si="23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2"/>
        <v/>
      </c>
      <c r="K626" s="72"/>
      <c r="L626" s="72"/>
      <c r="M626" s="72"/>
      <c r="N626" s="74" t="str">
        <f t="shared" si="23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2"/>
        <v/>
      </c>
      <c r="K627" s="72"/>
      <c r="L627" s="72"/>
      <c r="M627" s="72"/>
      <c r="N627" s="74" t="str">
        <f t="shared" si="23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2"/>
        <v/>
      </c>
      <c r="K628" s="72"/>
      <c r="L628" s="72"/>
      <c r="M628" s="72"/>
      <c r="N628" s="74" t="str">
        <f t="shared" si="23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2"/>
        <v/>
      </c>
      <c r="K629" s="72"/>
      <c r="L629" s="72"/>
      <c r="M629" s="72"/>
      <c r="N629" s="74" t="str">
        <f t="shared" si="23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2"/>
        <v/>
      </c>
      <c r="K630" s="72"/>
      <c r="L630" s="72"/>
      <c r="M630" s="72"/>
      <c r="N630" s="74" t="str">
        <f t="shared" si="23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2"/>
        <v/>
      </c>
      <c r="K631" s="72"/>
      <c r="L631" s="72"/>
      <c r="M631" s="72"/>
      <c r="N631" s="74" t="str">
        <f t="shared" si="23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2"/>
        <v/>
      </c>
      <c r="K632" s="72"/>
      <c r="L632" s="72"/>
      <c r="M632" s="72"/>
      <c r="N632" s="74" t="str">
        <f t="shared" si="23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2"/>
        <v/>
      </c>
      <c r="K633" s="72"/>
      <c r="L633" s="72"/>
      <c r="M633" s="72"/>
      <c r="N633" s="74" t="str">
        <f t="shared" si="23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2"/>
        <v/>
      </c>
      <c r="K634" s="72"/>
      <c r="L634" s="72"/>
      <c r="M634" s="72"/>
      <c r="N634" s="74" t="str">
        <f t="shared" si="23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2"/>
        <v/>
      </c>
      <c r="K635" s="72"/>
      <c r="L635" s="72"/>
      <c r="M635" s="72"/>
      <c r="N635" s="74" t="str">
        <f t="shared" si="23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2"/>
        <v/>
      </c>
      <c r="K636" s="72"/>
      <c r="L636" s="72"/>
      <c r="M636" s="72"/>
      <c r="N636" s="74" t="str">
        <f t="shared" si="23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2"/>
        <v/>
      </c>
      <c r="K637" s="72"/>
      <c r="L637" s="72"/>
      <c r="M637" s="72"/>
      <c r="N637" s="74" t="str">
        <f t="shared" si="23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2"/>
        <v/>
      </c>
      <c r="K638" s="72"/>
      <c r="L638" s="72"/>
      <c r="M638" s="72"/>
      <c r="N638" s="74" t="str">
        <f t="shared" si="23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2"/>
        <v/>
      </c>
      <c r="K639" s="72"/>
      <c r="L639" s="72"/>
      <c r="M639" s="72"/>
      <c r="N639" s="74" t="str">
        <f t="shared" si="23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2"/>
        <v/>
      </c>
      <c r="K640" s="72"/>
      <c r="L640" s="72"/>
      <c r="M640" s="72"/>
      <c r="N640" s="74" t="str">
        <f t="shared" si="23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2"/>
        <v/>
      </c>
      <c r="K641" s="72"/>
      <c r="L641" s="72"/>
      <c r="M641" s="72"/>
      <c r="N641" s="74" t="str">
        <f t="shared" si="23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2"/>
        <v/>
      </c>
      <c r="K642" s="72"/>
      <c r="L642" s="72"/>
      <c r="M642" s="72"/>
      <c r="N642" s="74" t="str">
        <f t="shared" si="23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si="22"/>
        <v/>
      </c>
      <c r="K643" s="72"/>
      <c r="L643" s="72"/>
      <c r="M643" s="72"/>
      <c r="N643" s="74" t="str">
        <f t="shared" si="23"/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ref="J682:J745" si="24">IF(OR(H682&lt;0,H682=""), "",I682-H682)</f>
        <v/>
      </c>
      <c r="K682" s="72"/>
      <c r="L682" s="72"/>
      <c r="M682" s="72"/>
      <c r="N682" s="74" t="str">
        <f t="shared" ref="N682:N745" si="25">IF(OR(M682&lt;0,M682=""), "",I682-M682)</f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4"/>
        <v/>
      </c>
      <c r="K683" s="72"/>
      <c r="L683" s="72"/>
      <c r="M683" s="72"/>
      <c r="N683" s="74" t="str">
        <f t="shared" si="25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4"/>
        <v/>
      </c>
      <c r="K684" s="72"/>
      <c r="L684" s="72"/>
      <c r="M684" s="72"/>
      <c r="N684" s="74" t="str">
        <f t="shared" si="25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4"/>
        <v/>
      </c>
      <c r="K685" s="72"/>
      <c r="L685" s="72"/>
      <c r="M685" s="72"/>
      <c r="N685" s="74" t="str">
        <f t="shared" si="25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4"/>
        <v/>
      </c>
      <c r="K686" s="72"/>
      <c r="L686" s="72"/>
      <c r="M686" s="72"/>
      <c r="N686" s="74" t="str">
        <f t="shared" si="25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4"/>
        <v/>
      </c>
      <c r="K687" s="72"/>
      <c r="L687" s="72"/>
      <c r="M687" s="72"/>
      <c r="N687" s="74" t="str">
        <f t="shared" si="25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4"/>
        <v/>
      </c>
      <c r="K688" s="72"/>
      <c r="L688" s="72"/>
      <c r="M688" s="72"/>
      <c r="N688" s="74" t="str">
        <f t="shared" si="25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4"/>
        <v/>
      </c>
      <c r="K689" s="72"/>
      <c r="L689" s="72"/>
      <c r="M689" s="72"/>
      <c r="N689" s="74" t="str">
        <f t="shared" si="25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4"/>
        <v/>
      </c>
      <c r="K690" s="72"/>
      <c r="L690" s="72"/>
      <c r="M690" s="72"/>
      <c r="N690" s="74" t="str">
        <f t="shared" si="25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4"/>
        <v/>
      </c>
      <c r="K691" s="72"/>
      <c r="L691" s="72"/>
      <c r="M691" s="72"/>
      <c r="N691" s="74" t="str">
        <f t="shared" si="25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4"/>
        <v/>
      </c>
      <c r="K692" s="72"/>
      <c r="L692" s="72"/>
      <c r="M692" s="72"/>
      <c r="N692" s="74" t="str">
        <f t="shared" si="25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4"/>
        <v/>
      </c>
      <c r="K693" s="72"/>
      <c r="L693" s="72"/>
      <c r="M693" s="72"/>
      <c r="N693" s="74" t="str">
        <f t="shared" si="25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4"/>
        <v/>
      </c>
      <c r="K694" s="72"/>
      <c r="L694" s="72"/>
      <c r="M694" s="72"/>
      <c r="N694" s="74" t="str">
        <f t="shared" si="25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4"/>
        <v/>
      </c>
      <c r="K695" s="72"/>
      <c r="L695" s="72"/>
      <c r="M695" s="72"/>
      <c r="N695" s="74" t="str">
        <f t="shared" si="25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4"/>
        <v/>
      </c>
      <c r="K696" s="72"/>
      <c r="L696" s="72"/>
      <c r="M696" s="72"/>
      <c r="N696" s="74" t="str">
        <f t="shared" si="25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4"/>
        <v/>
      </c>
      <c r="K697" s="72"/>
      <c r="L697" s="72"/>
      <c r="M697" s="72"/>
      <c r="N697" s="74" t="str">
        <f t="shared" si="25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4"/>
        <v/>
      </c>
      <c r="K698" s="72"/>
      <c r="L698" s="72"/>
      <c r="M698" s="72"/>
      <c r="N698" s="74" t="str">
        <f t="shared" si="25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4"/>
        <v/>
      </c>
      <c r="K699" s="72"/>
      <c r="L699" s="72"/>
      <c r="M699" s="72"/>
      <c r="N699" s="74" t="str">
        <f t="shared" si="25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4"/>
        <v/>
      </c>
      <c r="K700" s="72"/>
      <c r="L700" s="72"/>
      <c r="M700" s="72"/>
      <c r="N700" s="74" t="str">
        <f t="shared" si="25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4"/>
        <v/>
      </c>
      <c r="K701" s="72"/>
      <c r="L701" s="72"/>
      <c r="M701" s="72"/>
      <c r="N701" s="74" t="str">
        <f t="shared" si="25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4"/>
        <v/>
      </c>
      <c r="K702" s="72"/>
      <c r="L702" s="72"/>
      <c r="M702" s="72"/>
      <c r="N702" s="74" t="str">
        <f t="shared" si="25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4"/>
        <v/>
      </c>
      <c r="K703" s="72"/>
      <c r="L703" s="72"/>
      <c r="M703" s="72"/>
      <c r="N703" s="74" t="str">
        <f t="shared" si="25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4"/>
        <v/>
      </c>
      <c r="K704" s="72"/>
      <c r="L704" s="72"/>
      <c r="M704" s="72"/>
      <c r="N704" s="74" t="str">
        <f t="shared" si="25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4"/>
        <v/>
      </c>
      <c r="K705" s="72"/>
      <c r="L705" s="72"/>
      <c r="M705" s="72"/>
      <c r="N705" s="74" t="str">
        <f t="shared" si="25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4"/>
        <v/>
      </c>
      <c r="K706" s="72"/>
      <c r="L706" s="72"/>
      <c r="M706" s="72"/>
      <c r="N706" s="74" t="str">
        <f t="shared" si="25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si="24"/>
        <v/>
      </c>
      <c r="K707" s="72"/>
      <c r="L707" s="72"/>
      <c r="M707" s="72"/>
      <c r="N707" s="74" t="str">
        <f t="shared" si="25"/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ref="J746:J809" si="26">IF(OR(H746&lt;0,H746=""), "",I746-H746)</f>
        <v/>
      </c>
      <c r="K746" s="72"/>
      <c r="L746" s="72"/>
      <c r="M746" s="72"/>
      <c r="N746" s="74" t="str">
        <f t="shared" ref="N746:N809" si="27">IF(OR(M746&lt;0,M746=""), "",I746-M746)</f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6"/>
        <v/>
      </c>
      <c r="K747" s="72"/>
      <c r="L747" s="72"/>
      <c r="M747" s="72"/>
      <c r="N747" s="74" t="str">
        <f t="shared" si="27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6"/>
        <v/>
      </c>
      <c r="K748" s="72"/>
      <c r="L748" s="72"/>
      <c r="M748" s="72"/>
      <c r="N748" s="74" t="str">
        <f t="shared" si="27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6"/>
        <v/>
      </c>
      <c r="K749" s="72"/>
      <c r="L749" s="72"/>
      <c r="M749" s="72"/>
      <c r="N749" s="74" t="str">
        <f t="shared" si="27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6"/>
        <v/>
      </c>
      <c r="K750" s="72"/>
      <c r="L750" s="72"/>
      <c r="M750" s="72"/>
      <c r="N750" s="74" t="str">
        <f t="shared" si="27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6"/>
        <v/>
      </c>
      <c r="K751" s="72"/>
      <c r="L751" s="72"/>
      <c r="M751" s="72"/>
      <c r="N751" s="74" t="str">
        <f t="shared" si="27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6"/>
        <v/>
      </c>
      <c r="K752" s="72"/>
      <c r="L752" s="72"/>
      <c r="M752" s="72"/>
      <c r="N752" s="74" t="str">
        <f t="shared" si="27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6"/>
        <v/>
      </c>
      <c r="K753" s="72"/>
      <c r="L753" s="72"/>
      <c r="M753" s="72"/>
      <c r="N753" s="74" t="str">
        <f t="shared" si="27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6"/>
        <v/>
      </c>
      <c r="K754" s="72"/>
      <c r="L754" s="72"/>
      <c r="M754" s="72"/>
      <c r="N754" s="74" t="str">
        <f t="shared" si="27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6"/>
        <v/>
      </c>
      <c r="K755" s="72"/>
      <c r="L755" s="72"/>
      <c r="M755" s="72"/>
      <c r="N755" s="74" t="str">
        <f t="shared" si="27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6"/>
        <v/>
      </c>
      <c r="K756" s="72"/>
      <c r="L756" s="72"/>
      <c r="M756" s="72"/>
      <c r="N756" s="74" t="str">
        <f t="shared" si="27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6"/>
        <v/>
      </c>
      <c r="K757" s="72"/>
      <c r="L757" s="72"/>
      <c r="M757" s="72"/>
      <c r="N757" s="74" t="str">
        <f t="shared" si="27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6"/>
        <v/>
      </c>
      <c r="K758" s="72"/>
      <c r="L758" s="72"/>
      <c r="M758" s="72"/>
      <c r="N758" s="74" t="str">
        <f t="shared" si="27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6"/>
        <v/>
      </c>
      <c r="K759" s="72"/>
      <c r="L759" s="72"/>
      <c r="M759" s="72"/>
      <c r="N759" s="74" t="str">
        <f t="shared" si="27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6"/>
        <v/>
      </c>
      <c r="K760" s="72"/>
      <c r="L760" s="72"/>
      <c r="M760" s="72"/>
      <c r="N760" s="74" t="str">
        <f t="shared" si="27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6"/>
        <v/>
      </c>
      <c r="K761" s="72"/>
      <c r="L761" s="72"/>
      <c r="M761" s="72"/>
      <c r="N761" s="74" t="str">
        <f t="shared" si="27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6"/>
        <v/>
      </c>
      <c r="K762" s="72"/>
      <c r="L762" s="72"/>
      <c r="M762" s="72"/>
      <c r="N762" s="74" t="str">
        <f t="shared" si="27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6"/>
        <v/>
      </c>
      <c r="K763" s="72"/>
      <c r="L763" s="72"/>
      <c r="M763" s="72"/>
      <c r="N763" s="74" t="str">
        <f t="shared" si="27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6"/>
        <v/>
      </c>
      <c r="K764" s="72"/>
      <c r="L764" s="72"/>
      <c r="M764" s="72"/>
      <c r="N764" s="74" t="str">
        <f t="shared" si="27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6"/>
        <v/>
      </c>
      <c r="K765" s="72"/>
      <c r="L765" s="72"/>
      <c r="M765" s="72"/>
      <c r="N765" s="74" t="str">
        <f t="shared" si="27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6"/>
        <v/>
      </c>
      <c r="K766" s="72"/>
      <c r="L766" s="72"/>
      <c r="M766" s="72"/>
      <c r="N766" s="74" t="str">
        <f t="shared" si="27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6"/>
        <v/>
      </c>
      <c r="K767" s="72"/>
      <c r="L767" s="72"/>
      <c r="M767" s="72"/>
      <c r="N767" s="74" t="str">
        <f t="shared" si="27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6"/>
        <v/>
      </c>
      <c r="K768" s="72"/>
      <c r="L768" s="72"/>
      <c r="M768" s="72"/>
      <c r="N768" s="74" t="str">
        <f t="shared" si="27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6"/>
        <v/>
      </c>
      <c r="K769" s="72"/>
      <c r="L769" s="72"/>
      <c r="M769" s="72"/>
      <c r="N769" s="74" t="str">
        <f t="shared" si="27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6"/>
        <v/>
      </c>
      <c r="K770" s="72"/>
      <c r="L770" s="72"/>
      <c r="M770" s="72"/>
      <c r="N770" s="74" t="str">
        <f t="shared" si="27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si="26"/>
        <v/>
      </c>
      <c r="K771" s="72"/>
      <c r="L771" s="72"/>
      <c r="M771" s="72"/>
      <c r="N771" s="74" t="str">
        <f t="shared" si="27"/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ref="J810:J873" si="28">IF(OR(H810&lt;0,H810=""), "",I810-H810)</f>
        <v/>
      </c>
      <c r="K810" s="72"/>
      <c r="L810" s="72"/>
      <c r="M810" s="72"/>
      <c r="N810" s="74" t="str">
        <f t="shared" ref="N810:N873" si="29">IF(OR(M810&lt;0,M810=""), "",I810-M810)</f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8"/>
        <v/>
      </c>
      <c r="K811" s="72"/>
      <c r="L811" s="72"/>
      <c r="M811" s="72"/>
      <c r="N811" s="74" t="str">
        <f t="shared" si="29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8"/>
        <v/>
      </c>
      <c r="K812" s="72"/>
      <c r="L812" s="72"/>
      <c r="M812" s="72"/>
      <c r="N812" s="74" t="str">
        <f t="shared" si="29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8"/>
        <v/>
      </c>
      <c r="K813" s="72"/>
      <c r="L813" s="72"/>
      <c r="M813" s="72"/>
      <c r="N813" s="74" t="str">
        <f t="shared" si="29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8"/>
        <v/>
      </c>
      <c r="K814" s="72"/>
      <c r="L814" s="72"/>
      <c r="M814" s="72"/>
      <c r="N814" s="74" t="str">
        <f t="shared" si="29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8"/>
        <v/>
      </c>
      <c r="K815" s="72"/>
      <c r="L815" s="72"/>
      <c r="M815" s="72"/>
      <c r="N815" s="74" t="str">
        <f t="shared" si="29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8"/>
        <v/>
      </c>
      <c r="K816" s="72"/>
      <c r="L816" s="72"/>
      <c r="M816" s="72"/>
      <c r="N816" s="74" t="str">
        <f t="shared" si="29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8"/>
        <v/>
      </c>
      <c r="K817" s="72"/>
      <c r="L817" s="72"/>
      <c r="M817" s="72"/>
      <c r="N817" s="74" t="str">
        <f t="shared" si="29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8"/>
        <v/>
      </c>
      <c r="K818" s="72"/>
      <c r="L818" s="72"/>
      <c r="M818" s="72"/>
      <c r="N818" s="74" t="str">
        <f t="shared" si="29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8"/>
        <v/>
      </c>
      <c r="K819" s="72"/>
      <c r="L819" s="72"/>
      <c r="M819" s="72"/>
      <c r="N819" s="74" t="str">
        <f t="shared" si="29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8"/>
        <v/>
      </c>
      <c r="K820" s="72"/>
      <c r="L820" s="72"/>
      <c r="M820" s="72"/>
      <c r="N820" s="74" t="str">
        <f t="shared" si="29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8"/>
        <v/>
      </c>
      <c r="K821" s="72"/>
      <c r="L821" s="72"/>
      <c r="M821" s="72"/>
      <c r="N821" s="74" t="str">
        <f t="shared" si="29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8"/>
        <v/>
      </c>
      <c r="K822" s="72"/>
      <c r="L822" s="72"/>
      <c r="M822" s="72"/>
      <c r="N822" s="74" t="str">
        <f t="shared" si="29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8"/>
        <v/>
      </c>
      <c r="K823" s="72"/>
      <c r="L823" s="72"/>
      <c r="M823" s="72"/>
      <c r="N823" s="74" t="str">
        <f t="shared" si="29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8"/>
        <v/>
      </c>
      <c r="K824" s="72"/>
      <c r="L824" s="72"/>
      <c r="M824" s="72"/>
      <c r="N824" s="74" t="str">
        <f t="shared" si="29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8"/>
        <v/>
      </c>
      <c r="K825" s="72"/>
      <c r="L825" s="72"/>
      <c r="M825" s="72"/>
      <c r="N825" s="74" t="str">
        <f t="shared" si="29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8"/>
        <v/>
      </c>
      <c r="K826" s="72"/>
      <c r="L826" s="72"/>
      <c r="M826" s="72"/>
      <c r="N826" s="74" t="str">
        <f t="shared" si="29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8"/>
        <v/>
      </c>
      <c r="K827" s="72"/>
      <c r="L827" s="72"/>
      <c r="M827" s="72"/>
      <c r="N827" s="74" t="str">
        <f t="shared" si="29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8"/>
        <v/>
      </c>
      <c r="K828" s="72"/>
      <c r="L828" s="72"/>
      <c r="M828" s="72"/>
      <c r="N828" s="74" t="str">
        <f t="shared" si="29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8"/>
        <v/>
      </c>
      <c r="K829" s="72"/>
      <c r="L829" s="72"/>
      <c r="M829" s="72"/>
      <c r="N829" s="74" t="str">
        <f t="shared" si="29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8"/>
        <v/>
      </c>
      <c r="K830" s="72"/>
      <c r="L830" s="72"/>
      <c r="M830" s="72"/>
      <c r="N830" s="74" t="str">
        <f t="shared" si="29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8"/>
        <v/>
      </c>
      <c r="K831" s="72"/>
      <c r="L831" s="72"/>
      <c r="M831" s="72"/>
      <c r="N831" s="74" t="str">
        <f t="shared" si="29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8"/>
        <v/>
      </c>
      <c r="K832" s="72"/>
      <c r="L832" s="72"/>
      <c r="M832" s="72"/>
      <c r="N832" s="74" t="str">
        <f t="shared" si="29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8"/>
        <v/>
      </c>
      <c r="K833" s="72"/>
      <c r="L833" s="72"/>
      <c r="M833" s="72"/>
      <c r="N833" s="74" t="str">
        <f t="shared" si="29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8"/>
        <v/>
      </c>
      <c r="K834" s="72"/>
      <c r="L834" s="72"/>
      <c r="M834" s="72"/>
      <c r="N834" s="74" t="str">
        <f t="shared" si="29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si="28"/>
        <v/>
      </c>
      <c r="K835" s="72"/>
      <c r="L835" s="72"/>
      <c r="M835" s="72"/>
      <c r="N835" s="74" t="str">
        <f t="shared" si="29"/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ref="J874:J937" si="30">IF(OR(H874&lt;0,H874=""), "",I874-H874)</f>
        <v/>
      </c>
      <c r="K874" s="72"/>
      <c r="L874" s="72"/>
      <c r="M874" s="72"/>
      <c r="N874" s="74" t="str">
        <f t="shared" ref="N874:N937" si="31">IF(OR(M874&lt;0,M874=""), "",I874-M874)</f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30"/>
        <v/>
      </c>
      <c r="K875" s="72"/>
      <c r="L875" s="72"/>
      <c r="M875" s="72"/>
      <c r="N875" s="74" t="str">
        <f t="shared" si="31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30"/>
        <v/>
      </c>
      <c r="K876" s="72"/>
      <c r="L876" s="72"/>
      <c r="M876" s="72"/>
      <c r="N876" s="74" t="str">
        <f t="shared" si="31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30"/>
        <v/>
      </c>
      <c r="K877" s="72"/>
      <c r="L877" s="72"/>
      <c r="M877" s="72"/>
      <c r="N877" s="74" t="str">
        <f t="shared" si="31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30"/>
        <v/>
      </c>
      <c r="K878" s="72"/>
      <c r="L878" s="72"/>
      <c r="M878" s="72"/>
      <c r="N878" s="74" t="str">
        <f t="shared" si="31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30"/>
        <v/>
      </c>
      <c r="K879" s="72"/>
      <c r="L879" s="72"/>
      <c r="M879" s="72"/>
      <c r="N879" s="74" t="str">
        <f t="shared" si="31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30"/>
        <v/>
      </c>
      <c r="K880" s="72"/>
      <c r="L880" s="72"/>
      <c r="M880" s="72"/>
      <c r="N880" s="74" t="str">
        <f t="shared" si="31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30"/>
        <v/>
      </c>
      <c r="K881" s="72"/>
      <c r="L881" s="72"/>
      <c r="M881" s="72"/>
      <c r="N881" s="74" t="str">
        <f t="shared" si="31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30"/>
        <v/>
      </c>
      <c r="K882" s="72"/>
      <c r="L882" s="72"/>
      <c r="M882" s="72"/>
      <c r="N882" s="74" t="str">
        <f t="shared" si="31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30"/>
        <v/>
      </c>
      <c r="K883" s="72"/>
      <c r="L883" s="72"/>
      <c r="M883" s="72"/>
      <c r="N883" s="74" t="str">
        <f t="shared" si="31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30"/>
        <v/>
      </c>
      <c r="K884" s="72"/>
      <c r="L884" s="72"/>
      <c r="M884" s="72"/>
      <c r="N884" s="74" t="str">
        <f t="shared" si="31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30"/>
        <v/>
      </c>
      <c r="K885" s="72"/>
      <c r="L885" s="72"/>
      <c r="M885" s="72"/>
      <c r="N885" s="74" t="str">
        <f t="shared" si="31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30"/>
        <v/>
      </c>
      <c r="K886" s="72"/>
      <c r="L886" s="72"/>
      <c r="M886" s="72"/>
      <c r="N886" s="74" t="str">
        <f t="shared" si="31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30"/>
        <v/>
      </c>
      <c r="K887" s="72"/>
      <c r="L887" s="72"/>
      <c r="M887" s="72"/>
      <c r="N887" s="74" t="str">
        <f t="shared" si="31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30"/>
        <v/>
      </c>
      <c r="K888" s="72"/>
      <c r="L888" s="72"/>
      <c r="M888" s="72"/>
      <c r="N888" s="74" t="str">
        <f t="shared" si="31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30"/>
        <v/>
      </c>
      <c r="K889" s="72"/>
      <c r="L889" s="72"/>
      <c r="M889" s="72"/>
      <c r="N889" s="74" t="str">
        <f t="shared" si="31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30"/>
        <v/>
      </c>
      <c r="K890" s="72"/>
      <c r="L890" s="72"/>
      <c r="M890" s="72"/>
      <c r="N890" s="74" t="str">
        <f t="shared" si="31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30"/>
        <v/>
      </c>
      <c r="K891" s="72"/>
      <c r="L891" s="72"/>
      <c r="M891" s="72"/>
      <c r="N891" s="74" t="str">
        <f t="shared" si="31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30"/>
        <v/>
      </c>
      <c r="K892" s="72"/>
      <c r="L892" s="72"/>
      <c r="M892" s="72"/>
      <c r="N892" s="74" t="str">
        <f t="shared" si="31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30"/>
        <v/>
      </c>
      <c r="K893" s="72"/>
      <c r="L893" s="72"/>
      <c r="M893" s="72"/>
      <c r="N893" s="74" t="str">
        <f t="shared" si="31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30"/>
        <v/>
      </c>
      <c r="K894" s="72"/>
      <c r="L894" s="72"/>
      <c r="M894" s="72"/>
      <c r="N894" s="74" t="str">
        <f t="shared" si="31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30"/>
        <v/>
      </c>
      <c r="K895" s="72"/>
      <c r="L895" s="72"/>
      <c r="M895" s="72"/>
      <c r="N895" s="74" t="str">
        <f t="shared" si="31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30"/>
        <v/>
      </c>
      <c r="K896" s="72"/>
      <c r="L896" s="72"/>
      <c r="M896" s="72"/>
      <c r="N896" s="74" t="str">
        <f t="shared" si="31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30"/>
        <v/>
      </c>
      <c r="K897" s="72"/>
      <c r="L897" s="72"/>
      <c r="M897" s="72"/>
      <c r="N897" s="74" t="str">
        <f t="shared" si="31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30"/>
        <v/>
      </c>
      <c r="K898" s="72"/>
      <c r="L898" s="72"/>
      <c r="M898" s="72"/>
      <c r="N898" s="74" t="str">
        <f t="shared" si="31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si="30"/>
        <v/>
      </c>
      <c r="K899" s="72"/>
      <c r="L899" s="72"/>
      <c r="M899" s="72"/>
      <c r="N899" s="74" t="str">
        <f t="shared" si="31"/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ref="J938:J975" si="32">IF(OR(H938&lt;0,H938=""), "",I938-H938)</f>
        <v/>
      </c>
      <c r="K938" s="72"/>
      <c r="L938" s="72"/>
      <c r="M938" s="72"/>
      <c r="N938" s="74" t="str">
        <f t="shared" ref="N938:N975" si="33">IF(OR(M938&lt;0,M938=""), "",I938-M938)</f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2"/>
        <v/>
      </c>
      <c r="K939" s="72"/>
      <c r="L939" s="72"/>
      <c r="M939" s="72"/>
      <c r="N939" s="74" t="str">
        <f t="shared" si="33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2"/>
        <v/>
      </c>
      <c r="K940" s="72"/>
      <c r="L940" s="72"/>
      <c r="M940" s="72"/>
      <c r="N940" s="74" t="str">
        <f t="shared" si="33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2"/>
        <v/>
      </c>
      <c r="K941" s="72"/>
      <c r="L941" s="72"/>
      <c r="M941" s="72"/>
      <c r="N941" s="74" t="str">
        <f t="shared" si="33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2"/>
        <v/>
      </c>
      <c r="K942" s="72"/>
      <c r="L942" s="72"/>
      <c r="M942" s="72"/>
      <c r="N942" s="74" t="str">
        <f t="shared" si="33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2"/>
        <v/>
      </c>
      <c r="K943" s="72"/>
      <c r="L943" s="72"/>
      <c r="M943" s="72"/>
      <c r="N943" s="74" t="str">
        <f t="shared" si="33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2"/>
        <v/>
      </c>
      <c r="K944" s="72"/>
      <c r="L944" s="72"/>
      <c r="M944" s="72"/>
      <c r="N944" s="74" t="str">
        <f t="shared" si="33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2"/>
        <v/>
      </c>
      <c r="K945" s="72"/>
      <c r="L945" s="72"/>
      <c r="M945" s="72"/>
      <c r="N945" s="74" t="str">
        <f t="shared" si="33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2"/>
        <v/>
      </c>
      <c r="K946" s="72"/>
      <c r="L946" s="72"/>
      <c r="M946" s="72"/>
      <c r="N946" s="74" t="str">
        <f t="shared" si="33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2"/>
        <v/>
      </c>
      <c r="K947" s="72"/>
      <c r="L947" s="72"/>
      <c r="M947" s="72"/>
      <c r="N947" s="74" t="str">
        <f t="shared" si="33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2"/>
        <v/>
      </c>
      <c r="K948" s="72"/>
      <c r="L948" s="72"/>
      <c r="M948" s="72"/>
      <c r="N948" s="74" t="str">
        <f t="shared" si="33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2"/>
        <v/>
      </c>
      <c r="K949" s="72"/>
      <c r="L949" s="72"/>
      <c r="M949" s="72"/>
      <c r="N949" s="74" t="str">
        <f t="shared" si="33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2"/>
        <v/>
      </c>
      <c r="K950" s="72"/>
      <c r="L950" s="72"/>
      <c r="M950" s="72"/>
      <c r="N950" s="74" t="str">
        <f t="shared" si="33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2"/>
        <v/>
      </c>
      <c r="K951" s="72"/>
      <c r="L951" s="72"/>
      <c r="M951" s="72"/>
      <c r="N951" s="74" t="str">
        <f t="shared" si="33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2"/>
        <v/>
      </c>
      <c r="K952" s="72"/>
      <c r="L952" s="72"/>
      <c r="M952" s="72"/>
      <c r="N952" s="74" t="str">
        <f t="shared" si="33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2"/>
        <v/>
      </c>
      <c r="K953" s="72"/>
      <c r="L953" s="72"/>
      <c r="M953" s="72"/>
      <c r="N953" s="74" t="str">
        <f t="shared" si="33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2"/>
        <v/>
      </c>
      <c r="K954" s="72"/>
      <c r="L954" s="72"/>
      <c r="M954" s="72"/>
      <c r="N954" s="74" t="str">
        <f t="shared" si="33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2"/>
        <v/>
      </c>
      <c r="K955" s="72"/>
      <c r="L955" s="72"/>
      <c r="M955" s="72"/>
      <c r="N955" s="74" t="str">
        <f t="shared" si="33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2"/>
        <v/>
      </c>
      <c r="K956" s="72"/>
      <c r="L956" s="72"/>
      <c r="M956" s="72"/>
      <c r="N956" s="74" t="str">
        <f t="shared" si="33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2"/>
        <v/>
      </c>
      <c r="K957" s="72"/>
      <c r="L957" s="72"/>
      <c r="M957" s="72"/>
      <c r="N957" s="74" t="str">
        <f t="shared" si="33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2"/>
        <v/>
      </c>
      <c r="K958" s="72"/>
      <c r="L958" s="72"/>
      <c r="M958" s="72"/>
      <c r="N958" s="74" t="str">
        <f t="shared" si="33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2"/>
        <v/>
      </c>
      <c r="K959" s="72"/>
      <c r="L959" s="72"/>
      <c r="M959" s="72"/>
      <c r="N959" s="74" t="str">
        <f t="shared" si="33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2"/>
        <v/>
      </c>
      <c r="K960" s="72"/>
      <c r="L960" s="72"/>
      <c r="M960" s="72"/>
      <c r="N960" s="74" t="str">
        <f t="shared" si="33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2"/>
        <v/>
      </c>
      <c r="K961" s="72"/>
      <c r="L961" s="72"/>
      <c r="M961" s="72"/>
      <c r="N961" s="74" t="str">
        <f t="shared" si="33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2"/>
        <v/>
      </c>
      <c r="K962" s="72"/>
      <c r="L962" s="72"/>
      <c r="M962" s="72"/>
      <c r="N962" s="74" t="str">
        <f t="shared" si="33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si="32"/>
        <v/>
      </c>
      <c r="K963" s="72"/>
      <c r="L963" s="72"/>
      <c r="M963" s="72"/>
      <c r="N963" s="74" t="str">
        <f t="shared" si="33"/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3"/>
      <c r="B975" s="73"/>
      <c r="C975" s="73"/>
      <c r="D975" s="73"/>
      <c r="E975" s="73"/>
      <c r="F975" s="73"/>
      <c r="G975" s="73"/>
      <c r="H975" s="73"/>
      <c r="I975" s="73"/>
      <c r="J975" s="75" t="str">
        <f t="shared" si="32"/>
        <v/>
      </c>
      <c r="K975" s="73"/>
      <c r="L975" s="73"/>
      <c r="M975" s="73"/>
      <c r="N975" s="75" t="str">
        <f t="shared" si="33"/>
        <v/>
      </c>
    </row>
  </sheetData>
  <autoFilter ref="A1:N1"/>
  <sortState ref="B2:J40">
    <sortCondition ref="G2:G40"/>
  </sortState>
  <conditionalFormatting sqref="J2:J975 N2:N975">
    <cfRule type="containsBlanks" dxfId="2" priority="11" stopIfTrue="1">
      <formula>LEN(TRIM(J2))=0</formula>
    </cfRule>
    <cfRule type="cellIs" dxfId="1" priority="12" operator="lessThan">
      <formula>0</formula>
    </cfRule>
    <cfRule type="cellIs" dxfId="0" priority="13" operator="greaterThanOrEqual">
      <formula>0</formula>
    </cfRule>
  </conditionalFormatting>
  <dataValidations count="1">
    <dataValidation type="list" allowBlank="1" showInputMessage="1" showErrorMessage="1" prompt="Seleccionar de la lista" sqref="K2:K975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zoomScaleNormal="100" workbookViewId="0">
      <pane ySplit="1" topLeftCell="A2" activePane="bottomLeft" state="frozen"/>
      <selection pane="bottomLeft" activeCell="B6" sqref="B6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14993</v>
      </c>
      <c r="I4" s="84"/>
      <c r="J4" s="84"/>
      <c r="K4" s="84"/>
      <c r="L4" s="84"/>
    </row>
    <row r="5" spans="1:32" ht="27" customHeight="1" thickBot="1" x14ac:dyDescent="0.25">
      <c r="A5" s="83" t="s">
        <v>14995</v>
      </c>
      <c r="B5" s="83" t="s">
        <v>520</v>
      </c>
      <c r="C5" s="83" t="s">
        <v>644</v>
      </c>
      <c r="D5" s="84" t="s">
        <v>645</v>
      </c>
      <c r="E5" s="84" t="s">
        <v>646</v>
      </c>
      <c r="F5" s="84" t="s">
        <v>35</v>
      </c>
      <c r="G5" s="84" t="s">
        <v>647</v>
      </c>
      <c r="H5" s="84" t="s">
        <v>14995</v>
      </c>
      <c r="I5" s="84"/>
      <c r="J5" s="84"/>
      <c r="K5" s="84"/>
      <c r="L5" s="84"/>
    </row>
    <row r="6" spans="1:32" ht="15" customHeight="1" thickBot="1" x14ac:dyDescent="0.25">
      <c r="A6" s="83" t="s">
        <v>14996</v>
      </c>
      <c r="B6" s="83" t="s">
        <v>699</v>
      </c>
      <c r="C6" s="83" t="s">
        <v>798</v>
      </c>
      <c r="D6" s="84" t="s">
        <v>14997</v>
      </c>
      <c r="E6" s="84" t="s">
        <v>728</v>
      </c>
      <c r="F6" s="84" t="s">
        <v>35</v>
      </c>
      <c r="G6" s="84" t="s">
        <v>817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827</v>
      </c>
      <c r="D7" s="84" t="s">
        <v>775</v>
      </c>
      <c r="E7" s="84" t="s">
        <v>524</v>
      </c>
      <c r="F7" s="84" t="s">
        <v>35</v>
      </c>
      <c r="G7" s="84" t="s">
        <v>832</v>
      </c>
      <c r="H7" s="84" t="s">
        <v>14999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870</v>
      </c>
      <c r="D8" s="84" t="s">
        <v>775</v>
      </c>
      <c r="E8" s="84" t="s">
        <v>765</v>
      </c>
      <c r="F8" s="84" t="s">
        <v>35</v>
      </c>
      <c r="G8" s="84" t="s">
        <v>879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1286</v>
      </c>
      <c r="D9" s="84" t="s">
        <v>81</v>
      </c>
      <c r="E9" s="84" t="s">
        <v>728</v>
      </c>
      <c r="F9" s="84" t="s">
        <v>35</v>
      </c>
      <c r="G9" s="84" t="s">
        <v>1292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1506</v>
      </c>
      <c r="C10" s="83" t="s">
        <v>1507</v>
      </c>
      <c r="D10" s="84" t="s">
        <v>1508</v>
      </c>
      <c r="E10" s="84" t="s">
        <v>14994</v>
      </c>
      <c r="F10" s="84" t="s">
        <v>35</v>
      </c>
      <c r="G10" s="84" t="s">
        <v>1509</v>
      </c>
      <c r="H10" s="84" t="s">
        <v>14996</v>
      </c>
      <c r="I10" s="84"/>
      <c r="J10" s="84"/>
      <c r="K10" s="84"/>
      <c r="L10" s="84"/>
    </row>
    <row r="11" spans="1:32" ht="27" customHeight="1" thickBot="1" x14ac:dyDescent="0.25">
      <c r="A11" s="83" t="s">
        <v>15003</v>
      </c>
      <c r="B11" s="83" t="s">
        <v>8828</v>
      </c>
      <c r="C11" s="83" t="s">
        <v>8838</v>
      </c>
      <c r="D11" s="84" t="s">
        <v>8839</v>
      </c>
      <c r="E11" s="84" t="s">
        <v>8840</v>
      </c>
      <c r="F11" s="84" t="s">
        <v>35</v>
      </c>
      <c r="G11" s="84" t="s">
        <v>8841</v>
      </c>
      <c r="H11" s="84" t="s">
        <v>14995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9440</v>
      </c>
      <c r="C12" s="83" t="s">
        <v>15005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40.5" customHeight="1" thickBot="1" x14ac:dyDescent="0.25">
      <c r="A13" s="83" t="s">
        <v>15006</v>
      </c>
      <c r="B13" s="83" t="s">
        <v>10573</v>
      </c>
      <c r="C13" s="83" t="s">
        <v>10587</v>
      </c>
      <c r="D13" s="84" t="s">
        <v>14994</v>
      </c>
      <c r="E13" s="84" t="s">
        <v>14994</v>
      </c>
      <c r="F13" s="84" t="s">
        <v>35</v>
      </c>
      <c r="G13" s="84" t="s">
        <v>10588</v>
      </c>
      <c r="H13" s="84" t="s">
        <v>14995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14998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12659</v>
      </c>
      <c r="C16" s="83" t="s">
        <v>12675</v>
      </c>
      <c r="D16" s="84" t="s">
        <v>760</v>
      </c>
      <c r="E16" s="84" t="s">
        <v>728</v>
      </c>
      <c r="F16" s="84" t="s">
        <v>35</v>
      </c>
      <c r="G16" s="84" t="s">
        <v>12676</v>
      </c>
      <c r="H16" s="84" t="s">
        <v>14995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12624</v>
      </c>
      <c r="C17" s="83" t="s">
        <v>12973</v>
      </c>
      <c r="D17" s="84" t="s">
        <v>552</v>
      </c>
      <c r="E17" s="84" t="s">
        <v>14994</v>
      </c>
      <c r="F17" s="84" t="s">
        <v>35</v>
      </c>
      <c r="G17" s="84" t="s">
        <v>12977</v>
      </c>
      <c r="H17" s="84" t="s">
        <v>14995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13085</v>
      </c>
      <c r="C18" s="83" t="s">
        <v>13093</v>
      </c>
      <c r="D18" s="84" t="s">
        <v>13094</v>
      </c>
      <c r="E18" s="84" t="s">
        <v>13091</v>
      </c>
      <c r="F18" s="84" t="s">
        <v>35</v>
      </c>
      <c r="G18" s="84" t="s">
        <v>13095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13096</v>
      </c>
      <c r="D19" s="84" t="s">
        <v>13094</v>
      </c>
      <c r="E19" s="84" t="s">
        <v>13097</v>
      </c>
      <c r="F19" s="84" t="s">
        <v>35</v>
      </c>
      <c r="G19" s="84" t="s">
        <v>13098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13099</v>
      </c>
      <c r="D20" s="84" t="s">
        <v>13094</v>
      </c>
      <c r="E20" s="84" t="s">
        <v>13097</v>
      </c>
      <c r="F20" s="84" t="s">
        <v>35</v>
      </c>
      <c r="G20" s="84" t="s">
        <v>13100</v>
      </c>
      <c r="H20" s="84" t="s">
        <v>14995</v>
      </c>
      <c r="I20" s="84"/>
      <c r="J20" s="84"/>
      <c r="K20" s="84"/>
      <c r="L20" s="84"/>
    </row>
    <row r="21" spans="1:12" ht="15" customHeight="1" thickBot="1" x14ac:dyDescent="0.25">
      <c r="A21" s="83" t="s">
        <v>15013</v>
      </c>
      <c r="B21" s="83" t="s">
        <v>13785</v>
      </c>
      <c r="C21" s="83" t="s">
        <v>14095</v>
      </c>
      <c r="D21" s="84" t="s">
        <v>1513</v>
      </c>
      <c r="E21" s="84" t="s">
        <v>14994</v>
      </c>
      <c r="F21" s="84" t="s">
        <v>35</v>
      </c>
      <c r="G21" s="84" t="s">
        <v>14096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8159</v>
      </c>
      <c r="C22" s="83" t="s">
        <v>15015</v>
      </c>
      <c r="D22" s="84" t="s">
        <v>14994</v>
      </c>
      <c r="E22" s="84" t="s">
        <v>6690</v>
      </c>
      <c r="F22" s="84" t="s">
        <v>460</v>
      </c>
      <c r="G22" s="84" t="s">
        <v>8161</v>
      </c>
      <c r="H22" s="84" t="s">
        <v>14993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8865</v>
      </c>
      <c r="C23" s="83" t="s">
        <v>8923</v>
      </c>
      <c r="D23" s="84" t="s">
        <v>8924</v>
      </c>
      <c r="E23" s="84" t="s">
        <v>6675</v>
      </c>
      <c r="F23" s="84" t="s">
        <v>460</v>
      </c>
      <c r="G23" s="84" t="s">
        <v>8923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1711</v>
      </c>
      <c r="C24" s="83" t="s">
        <v>1712</v>
      </c>
      <c r="D24" s="84" t="s">
        <v>1718</v>
      </c>
      <c r="E24" s="84" t="s">
        <v>14994</v>
      </c>
      <c r="F24" s="84" t="s">
        <v>1714</v>
      </c>
      <c r="G24" s="84" t="s">
        <v>1719</v>
      </c>
      <c r="H24" s="84" t="s">
        <v>14993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2690</v>
      </c>
      <c r="C25" s="83" t="s">
        <v>2762</v>
      </c>
      <c r="D25" s="84" t="s">
        <v>14994</v>
      </c>
      <c r="E25" s="84" t="s">
        <v>14994</v>
      </c>
      <c r="F25" s="84" t="s">
        <v>1714</v>
      </c>
      <c r="G25" s="84" t="s">
        <v>2764</v>
      </c>
      <c r="H25" s="84" t="s">
        <v>14995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14211</v>
      </c>
      <c r="C26" s="83" t="s">
        <v>14225</v>
      </c>
      <c r="D26" s="84" t="s">
        <v>14226</v>
      </c>
      <c r="E26" s="84" t="s">
        <v>14219</v>
      </c>
      <c r="F26" s="84" t="s">
        <v>1714</v>
      </c>
      <c r="G26" s="84" t="s">
        <v>14228</v>
      </c>
      <c r="H26" s="84" t="s">
        <v>14993</v>
      </c>
      <c r="I26" s="84"/>
      <c r="J26" s="84"/>
      <c r="K26" s="84"/>
      <c r="L26" s="84"/>
    </row>
    <row r="27" spans="1:12" ht="27" customHeight="1" thickBot="1" x14ac:dyDescent="0.25">
      <c r="A27" s="83" t="s">
        <v>15020</v>
      </c>
      <c r="B27" s="83" t="s">
        <v>9436</v>
      </c>
      <c r="C27" s="83" t="s">
        <v>9437</v>
      </c>
      <c r="D27" s="84" t="s">
        <v>14994</v>
      </c>
      <c r="E27" s="84" t="s">
        <v>14994</v>
      </c>
      <c r="F27" s="84" t="s">
        <v>9438</v>
      </c>
      <c r="G27" s="84" t="s">
        <v>14994</v>
      </c>
      <c r="H27" s="84" t="s">
        <v>14993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1377</v>
      </c>
      <c r="C28" s="83" t="s">
        <v>1378</v>
      </c>
      <c r="D28" s="84" t="s">
        <v>14994</v>
      </c>
      <c r="E28" s="84" t="s">
        <v>14994</v>
      </c>
      <c r="F28" s="84" t="s">
        <v>395</v>
      </c>
      <c r="G28" s="84" t="s">
        <v>15022</v>
      </c>
      <c r="H28" s="84" t="s">
        <v>15023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15025</v>
      </c>
      <c r="C29" s="83" t="s">
        <v>1389</v>
      </c>
      <c r="D29" s="84" t="s">
        <v>14994</v>
      </c>
      <c r="E29" s="84" t="s">
        <v>14994</v>
      </c>
      <c r="F29" s="84" t="s">
        <v>395</v>
      </c>
      <c r="G29" s="84" t="s">
        <v>15026</v>
      </c>
      <c r="H29" s="84" t="s">
        <v>15027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1396</v>
      </c>
      <c r="C30" s="83" t="s">
        <v>1398</v>
      </c>
      <c r="D30" s="84" t="s">
        <v>14994</v>
      </c>
      <c r="E30" s="84" t="s">
        <v>14994</v>
      </c>
      <c r="F30" s="84" t="s">
        <v>395</v>
      </c>
      <c r="G30" s="84" t="s">
        <v>15029</v>
      </c>
      <c r="H30" s="84" t="s">
        <v>15030</v>
      </c>
      <c r="I30" s="84"/>
      <c r="J30" s="84"/>
      <c r="K30" s="84"/>
      <c r="L30" s="84"/>
    </row>
    <row r="31" spans="1:12" ht="15" customHeight="1" thickBot="1" x14ac:dyDescent="0.25">
      <c r="A31" s="83" t="s">
        <v>15031</v>
      </c>
      <c r="B31" s="83" t="s">
        <v>1402</v>
      </c>
      <c r="C31" s="83" t="s">
        <v>1404</v>
      </c>
      <c r="D31" s="84" t="s">
        <v>14994</v>
      </c>
      <c r="E31" s="84" t="s">
        <v>14994</v>
      </c>
      <c r="F31" s="84" t="s">
        <v>395</v>
      </c>
      <c r="G31" s="84" t="s">
        <v>15032</v>
      </c>
      <c r="H31" s="84" t="s">
        <v>15016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1405</v>
      </c>
      <c r="C32" s="83" t="s">
        <v>1406</v>
      </c>
      <c r="D32" s="84" t="s">
        <v>14994</v>
      </c>
      <c r="E32" s="84" t="s">
        <v>14994</v>
      </c>
      <c r="F32" s="84" t="s">
        <v>395</v>
      </c>
      <c r="G32" s="84" t="s">
        <v>15034</v>
      </c>
      <c r="H32" s="84" t="s">
        <v>15035</v>
      </c>
      <c r="I32" s="84"/>
      <c r="J32" s="84"/>
      <c r="K32" s="84"/>
      <c r="L32" s="84"/>
    </row>
    <row r="33" spans="1:12" ht="27" customHeight="1" thickBot="1" x14ac:dyDescent="0.25">
      <c r="A33" s="83" t="s">
        <v>15036</v>
      </c>
      <c r="B33" s="83" t="s">
        <v>1505</v>
      </c>
      <c r="C33" s="83" t="s">
        <v>1480</v>
      </c>
      <c r="D33" s="84" t="s">
        <v>14994</v>
      </c>
      <c r="E33" s="84" t="s">
        <v>1449</v>
      </c>
      <c r="F33" s="84" t="s">
        <v>395</v>
      </c>
      <c r="G33" s="84" t="s">
        <v>15037</v>
      </c>
      <c r="H33" s="84" t="s">
        <v>14998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5259</v>
      </c>
      <c r="C34" s="83" t="s">
        <v>5283</v>
      </c>
      <c r="D34" s="84" t="s">
        <v>14994</v>
      </c>
      <c r="E34" s="84" t="s">
        <v>14994</v>
      </c>
      <c r="F34" s="84" t="s">
        <v>395</v>
      </c>
      <c r="G34" s="84" t="s">
        <v>15039</v>
      </c>
      <c r="H34" s="84" t="s">
        <v>15018</v>
      </c>
      <c r="I34" s="84"/>
      <c r="J34" s="84"/>
      <c r="K34" s="84"/>
      <c r="L34" s="84"/>
    </row>
    <row r="35" spans="1:12" ht="27" customHeight="1" thickBot="1" x14ac:dyDescent="0.25">
      <c r="A35" s="83" t="s">
        <v>15040</v>
      </c>
      <c r="B35" s="83" t="s">
        <v>12336</v>
      </c>
      <c r="C35" s="83" t="s">
        <v>12337</v>
      </c>
      <c r="D35" s="84" t="s">
        <v>14994</v>
      </c>
      <c r="E35" s="84" t="s">
        <v>14994</v>
      </c>
      <c r="F35" s="84" t="s">
        <v>395</v>
      </c>
      <c r="G35" s="84" t="s">
        <v>15041</v>
      </c>
      <c r="H35" s="84" t="s">
        <v>15040</v>
      </c>
      <c r="I35" s="84"/>
      <c r="J35" s="84"/>
      <c r="K35" s="84"/>
      <c r="L35" s="84"/>
    </row>
    <row r="36" spans="1:12" ht="15" customHeight="1" thickBot="1" x14ac:dyDescent="0.25">
      <c r="A36" s="83" t="s">
        <v>15042</v>
      </c>
      <c r="B36" s="83" t="s">
        <v>12338</v>
      </c>
      <c r="C36" s="83" t="s">
        <v>12339</v>
      </c>
      <c r="D36" s="84" t="s">
        <v>14994</v>
      </c>
      <c r="E36" s="84" t="s">
        <v>14994</v>
      </c>
      <c r="F36" s="84" t="s">
        <v>395</v>
      </c>
      <c r="G36" s="84" t="s">
        <v>15043</v>
      </c>
      <c r="H36" s="84" t="s">
        <v>15040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13421</v>
      </c>
      <c r="C37" s="83" t="s">
        <v>3105</v>
      </c>
      <c r="D37" s="84" t="s">
        <v>14994</v>
      </c>
      <c r="E37" s="84" t="s">
        <v>14994</v>
      </c>
      <c r="F37" s="84" t="s">
        <v>395</v>
      </c>
      <c r="G37" s="84" t="s">
        <v>15045</v>
      </c>
      <c r="H37" s="84" t="s">
        <v>14995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13422</v>
      </c>
      <c r="C38" s="83" t="s">
        <v>3117</v>
      </c>
      <c r="D38" s="84" t="s">
        <v>14994</v>
      </c>
      <c r="E38" s="84" t="s">
        <v>14994</v>
      </c>
      <c r="F38" s="84" t="s">
        <v>395</v>
      </c>
      <c r="G38" s="84" t="s">
        <v>15047</v>
      </c>
      <c r="H38" s="84" t="s">
        <v>14993</v>
      </c>
      <c r="I38" s="84"/>
      <c r="J38" s="84"/>
      <c r="K38" s="84"/>
      <c r="L38" s="84"/>
    </row>
    <row r="39" spans="1:12" ht="27" customHeight="1" thickBot="1" x14ac:dyDescent="0.25">
      <c r="A39" s="83" t="s">
        <v>15023</v>
      </c>
      <c r="B39" s="83" t="s">
        <v>14316</v>
      </c>
      <c r="C39" s="83" t="s">
        <v>14317</v>
      </c>
      <c r="D39" s="84" t="s">
        <v>14994</v>
      </c>
      <c r="E39" s="84" t="s">
        <v>14994</v>
      </c>
      <c r="F39" s="84" t="s">
        <v>395</v>
      </c>
      <c r="G39" s="84" t="s">
        <v>15039</v>
      </c>
      <c r="H39" s="84" t="s">
        <v>15018</v>
      </c>
      <c r="I39" s="84"/>
      <c r="J39" s="84"/>
      <c r="K39" s="84"/>
      <c r="L39" s="84"/>
    </row>
    <row r="40" spans="1:12" ht="27" customHeight="1" thickBot="1" x14ac:dyDescent="0.25">
      <c r="A40" s="83" t="s">
        <v>15048</v>
      </c>
      <c r="B40" s="83" t="s">
        <v>505</v>
      </c>
      <c r="C40" s="83" t="s">
        <v>506</v>
      </c>
      <c r="D40" s="84" t="s">
        <v>507</v>
      </c>
      <c r="E40" s="84" t="s">
        <v>14994</v>
      </c>
      <c r="F40" s="84" t="s">
        <v>508</v>
      </c>
      <c r="G40" s="84" t="s">
        <v>14994</v>
      </c>
      <c r="H40" s="84" t="s">
        <v>14993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505</v>
      </c>
      <c r="C41" s="83" t="s">
        <v>512</v>
      </c>
      <c r="D41" s="84" t="s">
        <v>507</v>
      </c>
      <c r="E41" s="84" t="s">
        <v>14994</v>
      </c>
      <c r="F41" s="84" t="s">
        <v>508</v>
      </c>
      <c r="G41" s="84" t="s">
        <v>14994</v>
      </c>
      <c r="H41" s="84" t="s">
        <v>15001</v>
      </c>
      <c r="I41" s="84"/>
      <c r="J41" s="84"/>
      <c r="K41" s="84"/>
      <c r="L41" s="84"/>
    </row>
    <row r="42" spans="1:12" ht="15" customHeight="1" thickBot="1" x14ac:dyDescent="0.25">
      <c r="A42" s="83" t="s">
        <v>15050</v>
      </c>
      <c r="B42" s="83" t="s">
        <v>2343</v>
      </c>
      <c r="C42" s="83" t="s">
        <v>2344</v>
      </c>
      <c r="D42" s="84" t="s">
        <v>2345</v>
      </c>
      <c r="E42" s="84" t="s">
        <v>2330</v>
      </c>
      <c r="F42" s="84" t="s">
        <v>508</v>
      </c>
      <c r="G42" s="84" t="s">
        <v>506</v>
      </c>
      <c r="H42" s="84" t="s">
        <v>14998</v>
      </c>
      <c r="I42" s="84"/>
      <c r="J42" s="84"/>
      <c r="K42" s="84"/>
      <c r="L42" s="84"/>
    </row>
    <row r="43" spans="1:12" ht="15" customHeight="1" x14ac:dyDescent="0.2">
      <c r="A43" s="85" t="s">
        <v>15051</v>
      </c>
      <c r="B43" s="85" t="s">
        <v>2343</v>
      </c>
      <c r="C43" s="85" t="s">
        <v>2346</v>
      </c>
      <c r="D43" s="86" t="s">
        <v>2347</v>
      </c>
      <c r="E43" s="86" t="s">
        <v>2330</v>
      </c>
      <c r="F43" s="86" t="s">
        <v>508</v>
      </c>
      <c r="G43" s="86" t="s">
        <v>512</v>
      </c>
      <c r="H43" s="86" t="s">
        <v>15052</v>
      </c>
      <c r="I43" s="86"/>
      <c r="J43" s="86"/>
      <c r="K43" s="86"/>
      <c r="L43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14993</v>
      </c>
      <c r="I4" s="84"/>
      <c r="J4" s="84"/>
      <c r="K4" s="84"/>
      <c r="L4" s="84"/>
    </row>
    <row r="5" spans="1:32" ht="27" customHeight="1" thickBot="1" x14ac:dyDescent="0.25">
      <c r="A5" s="83" t="s">
        <v>14995</v>
      </c>
      <c r="B5" s="83" t="s">
        <v>520</v>
      </c>
      <c r="C5" s="83" t="s">
        <v>644</v>
      </c>
      <c r="D5" s="84" t="s">
        <v>645</v>
      </c>
      <c r="E5" s="84" t="s">
        <v>646</v>
      </c>
      <c r="F5" s="84" t="s">
        <v>35</v>
      </c>
      <c r="G5" s="84" t="s">
        <v>647</v>
      </c>
      <c r="H5" s="84" t="s">
        <v>14995</v>
      </c>
      <c r="I5" s="84"/>
      <c r="J5" s="84"/>
      <c r="K5" s="84"/>
      <c r="L5" s="84"/>
    </row>
    <row r="6" spans="1:32" ht="15" customHeight="1" thickBot="1" x14ac:dyDescent="0.25">
      <c r="A6" s="83" t="s">
        <v>14996</v>
      </c>
      <c r="B6" s="83" t="s">
        <v>699</v>
      </c>
      <c r="C6" s="83" t="s">
        <v>798</v>
      </c>
      <c r="D6" s="84" t="s">
        <v>14997</v>
      </c>
      <c r="E6" s="84" t="s">
        <v>728</v>
      </c>
      <c r="F6" s="84" t="s">
        <v>35</v>
      </c>
      <c r="G6" s="84" t="s">
        <v>817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827</v>
      </c>
      <c r="D7" s="84" t="s">
        <v>775</v>
      </c>
      <c r="E7" s="84" t="s">
        <v>524</v>
      </c>
      <c r="F7" s="84" t="s">
        <v>35</v>
      </c>
      <c r="G7" s="84" t="s">
        <v>832</v>
      </c>
      <c r="H7" s="84" t="s">
        <v>14999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870</v>
      </c>
      <c r="D8" s="84" t="s">
        <v>775</v>
      </c>
      <c r="E8" s="84" t="s">
        <v>765</v>
      </c>
      <c r="F8" s="84" t="s">
        <v>35</v>
      </c>
      <c r="G8" s="84" t="s">
        <v>879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1286</v>
      </c>
      <c r="D9" s="84" t="s">
        <v>81</v>
      </c>
      <c r="E9" s="84" t="s">
        <v>728</v>
      </c>
      <c r="F9" s="84" t="s">
        <v>35</v>
      </c>
      <c r="G9" s="84" t="s">
        <v>1292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1506</v>
      </c>
      <c r="C10" s="83" t="s">
        <v>1507</v>
      </c>
      <c r="D10" s="84" t="s">
        <v>1508</v>
      </c>
      <c r="E10" s="84" t="s">
        <v>14994</v>
      </c>
      <c r="F10" s="84" t="s">
        <v>35</v>
      </c>
      <c r="G10" s="84" t="s">
        <v>1509</v>
      </c>
      <c r="H10" s="84" t="s">
        <v>14996</v>
      </c>
      <c r="I10" s="84"/>
      <c r="J10" s="84"/>
      <c r="K10" s="84"/>
      <c r="L10" s="84"/>
    </row>
    <row r="11" spans="1:32" ht="27" customHeight="1" thickBot="1" x14ac:dyDescent="0.25">
      <c r="A11" s="83" t="s">
        <v>15003</v>
      </c>
      <c r="B11" s="83" t="s">
        <v>8828</v>
      </c>
      <c r="C11" s="83" t="s">
        <v>8838</v>
      </c>
      <c r="D11" s="84" t="s">
        <v>8839</v>
      </c>
      <c r="E11" s="84" t="s">
        <v>8840</v>
      </c>
      <c r="F11" s="84" t="s">
        <v>35</v>
      </c>
      <c r="G11" s="84" t="s">
        <v>8841</v>
      </c>
      <c r="H11" s="84" t="s">
        <v>14995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9440</v>
      </c>
      <c r="C12" s="83" t="s">
        <v>15005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40.5" customHeight="1" thickBot="1" x14ac:dyDescent="0.25">
      <c r="A13" s="83" t="s">
        <v>15006</v>
      </c>
      <c r="B13" s="83" t="s">
        <v>10573</v>
      </c>
      <c r="C13" s="83" t="s">
        <v>10587</v>
      </c>
      <c r="D13" s="84" t="s">
        <v>14994</v>
      </c>
      <c r="E13" s="84" t="s">
        <v>14994</v>
      </c>
      <c r="F13" s="84" t="s">
        <v>35</v>
      </c>
      <c r="G13" s="84" t="s">
        <v>10588</v>
      </c>
      <c r="H13" s="84" t="s">
        <v>14995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14998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12659</v>
      </c>
      <c r="C16" s="83" t="s">
        <v>12675</v>
      </c>
      <c r="D16" s="84" t="s">
        <v>760</v>
      </c>
      <c r="E16" s="84" t="s">
        <v>728</v>
      </c>
      <c r="F16" s="84" t="s">
        <v>35</v>
      </c>
      <c r="G16" s="84" t="s">
        <v>12676</v>
      </c>
      <c r="H16" s="84" t="s">
        <v>14995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12624</v>
      </c>
      <c r="C17" s="83" t="s">
        <v>12973</v>
      </c>
      <c r="D17" s="84" t="s">
        <v>552</v>
      </c>
      <c r="E17" s="84" t="s">
        <v>14994</v>
      </c>
      <c r="F17" s="84" t="s">
        <v>35</v>
      </c>
      <c r="G17" s="84" t="s">
        <v>12977</v>
      </c>
      <c r="H17" s="84" t="s">
        <v>14995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13085</v>
      </c>
      <c r="C18" s="83" t="s">
        <v>13093</v>
      </c>
      <c r="D18" s="84" t="s">
        <v>13094</v>
      </c>
      <c r="E18" s="84" t="s">
        <v>13091</v>
      </c>
      <c r="F18" s="84" t="s">
        <v>35</v>
      </c>
      <c r="G18" s="84" t="s">
        <v>13095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13096</v>
      </c>
      <c r="D19" s="84" t="s">
        <v>13094</v>
      </c>
      <c r="E19" s="84" t="s">
        <v>13097</v>
      </c>
      <c r="F19" s="84" t="s">
        <v>35</v>
      </c>
      <c r="G19" s="84" t="s">
        <v>13098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13099</v>
      </c>
      <c r="D20" s="84" t="s">
        <v>13094</v>
      </c>
      <c r="E20" s="84" t="s">
        <v>13097</v>
      </c>
      <c r="F20" s="84" t="s">
        <v>35</v>
      </c>
      <c r="G20" s="84" t="s">
        <v>13100</v>
      </c>
      <c r="H20" s="84" t="s">
        <v>14995</v>
      </c>
      <c r="I20" s="84"/>
      <c r="J20" s="84"/>
      <c r="K20" s="84"/>
      <c r="L20" s="84"/>
    </row>
    <row r="21" spans="1:12" ht="15" customHeight="1" thickBot="1" x14ac:dyDescent="0.25">
      <c r="A21" s="83" t="s">
        <v>15013</v>
      </c>
      <c r="B21" s="83" t="s">
        <v>13785</v>
      </c>
      <c r="C21" s="83" t="s">
        <v>14095</v>
      </c>
      <c r="D21" s="84" t="s">
        <v>1513</v>
      </c>
      <c r="E21" s="84" t="s">
        <v>14994</v>
      </c>
      <c r="F21" s="84" t="s">
        <v>35</v>
      </c>
      <c r="G21" s="84" t="s">
        <v>14096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8159</v>
      </c>
      <c r="C22" s="83" t="s">
        <v>15015</v>
      </c>
      <c r="D22" s="84" t="s">
        <v>14994</v>
      </c>
      <c r="E22" s="84" t="s">
        <v>6690</v>
      </c>
      <c r="F22" s="84" t="s">
        <v>460</v>
      </c>
      <c r="G22" s="84" t="s">
        <v>8161</v>
      </c>
      <c r="H22" s="84" t="s">
        <v>14993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8865</v>
      </c>
      <c r="C23" s="83" t="s">
        <v>8923</v>
      </c>
      <c r="D23" s="84" t="s">
        <v>8924</v>
      </c>
      <c r="E23" s="84" t="s">
        <v>6675</v>
      </c>
      <c r="F23" s="84" t="s">
        <v>460</v>
      </c>
      <c r="G23" s="84" t="s">
        <v>8923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1711</v>
      </c>
      <c r="C24" s="83" t="s">
        <v>1712</v>
      </c>
      <c r="D24" s="84" t="s">
        <v>1718</v>
      </c>
      <c r="E24" s="84" t="s">
        <v>14994</v>
      </c>
      <c r="F24" s="84" t="s">
        <v>1714</v>
      </c>
      <c r="G24" s="84" t="s">
        <v>1719</v>
      </c>
      <c r="H24" s="84" t="s">
        <v>14993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2690</v>
      </c>
      <c r="C25" s="83" t="s">
        <v>2762</v>
      </c>
      <c r="D25" s="84" t="s">
        <v>14994</v>
      </c>
      <c r="E25" s="84" t="s">
        <v>14994</v>
      </c>
      <c r="F25" s="84" t="s">
        <v>1714</v>
      </c>
      <c r="G25" s="84" t="s">
        <v>2764</v>
      </c>
      <c r="H25" s="84" t="s">
        <v>14995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14211</v>
      </c>
      <c r="C26" s="83" t="s">
        <v>14225</v>
      </c>
      <c r="D26" s="84" t="s">
        <v>14226</v>
      </c>
      <c r="E26" s="84" t="s">
        <v>14219</v>
      </c>
      <c r="F26" s="84" t="s">
        <v>1714</v>
      </c>
      <c r="G26" s="84" t="s">
        <v>14228</v>
      </c>
      <c r="H26" s="84" t="s">
        <v>14993</v>
      </c>
      <c r="I26" s="84"/>
      <c r="J26" s="84"/>
      <c r="K26" s="84"/>
      <c r="L26" s="84"/>
    </row>
    <row r="27" spans="1:12" ht="27" customHeight="1" thickBot="1" x14ac:dyDescent="0.25">
      <c r="A27" s="83" t="s">
        <v>15020</v>
      </c>
      <c r="B27" s="83" t="s">
        <v>9436</v>
      </c>
      <c r="C27" s="83" t="s">
        <v>9437</v>
      </c>
      <c r="D27" s="84" t="s">
        <v>14994</v>
      </c>
      <c r="E27" s="84" t="s">
        <v>14994</v>
      </c>
      <c r="F27" s="84" t="s">
        <v>9438</v>
      </c>
      <c r="G27" s="84" t="s">
        <v>14994</v>
      </c>
      <c r="H27" s="84" t="s">
        <v>14993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1377</v>
      </c>
      <c r="C28" s="83" t="s">
        <v>1378</v>
      </c>
      <c r="D28" s="84" t="s">
        <v>14994</v>
      </c>
      <c r="E28" s="84" t="s">
        <v>14994</v>
      </c>
      <c r="F28" s="84" t="s">
        <v>395</v>
      </c>
      <c r="G28" s="84" t="s">
        <v>15022</v>
      </c>
      <c r="H28" s="84" t="s">
        <v>15023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15025</v>
      </c>
      <c r="C29" s="83" t="s">
        <v>1389</v>
      </c>
      <c r="D29" s="84" t="s">
        <v>14994</v>
      </c>
      <c r="E29" s="84" t="s">
        <v>14994</v>
      </c>
      <c r="F29" s="84" t="s">
        <v>395</v>
      </c>
      <c r="G29" s="84" t="s">
        <v>15026</v>
      </c>
      <c r="H29" s="84" t="s">
        <v>15027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1396</v>
      </c>
      <c r="C30" s="83" t="s">
        <v>1398</v>
      </c>
      <c r="D30" s="84" t="s">
        <v>14994</v>
      </c>
      <c r="E30" s="84" t="s">
        <v>14994</v>
      </c>
      <c r="F30" s="84" t="s">
        <v>395</v>
      </c>
      <c r="G30" s="84" t="s">
        <v>15029</v>
      </c>
      <c r="H30" s="84" t="s">
        <v>15030</v>
      </c>
      <c r="I30" s="84"/>
      <c r="J30" s="84"/>
      <c r="K30" s="84"/>
      <c r="L30" s="84"/>
    </row>
    <row r="31" spans="1:12" ht="15" customHeight="1" thickBot="1" x14ac:dyDescent="0.25">
      <c r="A31" s="83" t="s">
        <v>15031</v>
      </c>
      <c r="B31" s="83" t="s">
        <v>1402</v>
      </c>
      <c r="C31" s="83" t="s">
        <v>1404</v>
      </c>
      <c r="D31" s="84" t="s">
        <v>14994</v>
      </c>
      <c r="E31" s="84" t="s">
        <v>14994</v>
      </c>
      <c r="F31" s="84" t="s">
        <v>395</v>
      </c>
      <c r="G31" s="84" t="s">
        <v>15032</v>
      </c>
      <c r="H31" s="84" t="s">
        <v>15016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1405</v>
      </c>
      <c r="C32" s="83" t="s">
        <v>1406</v>
      </c>
      <c r="D32" s="84" t="s">
        <v>14994</v>
      </c>
      <c r="E32" s="84" t="s">
        <v>14994</v>
      </c>
      <c r="F32" s="84" t="s">
        <v>395</v>
      </c>
      <c r="G32" s="84" t="s">
        <v>15034</v>
      </c>
      <c r="H32" s="84" t="s">
        <v>15035</v>
      </c>
      <c r="I32" s="84"/>
      <c r="J32" s="84"/>
      <c r="K32" s="84"/>
      <c r="L32" s="84"/>
    </row>
    <row r="33" spans="1:12" ht="27" customHeight="1" thickBot="1" x14ac:dyDescent="0.25">
      <c r="A33" s="83" t="s">
        <v>15036</v>
      </c>
      <c r="B33" s="83" t="s">
        <v>1505</v>
      </c>
      <c r="C33" s="83" t="s">
        <v>1480</v>
      </c>
      <c r="D33" s="84" t="s">
        <v>14994</v>
      </c>
      <c r="E33" s="84" t="s">
        <v>1449</v>
      </c>
      <c r="F33" s="84" t="s">
        <v>395</v>
      </c>
      <c r="G33" s="84" t="s">
        <v>15037</v>
      </c>
      <c r="H33" s="84" t="s">
        <v>14998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5259</v>
      </c>
      <c r="C34" s="83" t="s">
        <v>5283</v>
      </c>
      <c r="D34" s="84" t="s">
        <v>14994</v>
      </c>
      <c r="E34" s="84" t="s">
        <v>14994</v>
      </c>
      <c r="F34" s="84" t="s">
        <v>395</v>
      </c>
      <c r="G34" s="84" t="s">
        <v>15039</v>
      </c>
      <c r="H34" s="84" t="s">
        <v>15018</v>
      </c>
      <c r="I34" s="84"/>
      <c r="J34" s="84"/>
      <c r="K34" s="84"/>
      <c r="L34" s="84"/>
    </row>
    <row r="35" spans="1:12" ht="27" customHeight="1" thickBot="1" x14ac:dyDescent="0.25">
      <c r="A35" s="83" t="s">
        <v>15040</v>
      </c>
      <c r="B35" s="83" t="s">
        <v>12336</v>
      </c>
      <c r="C35" s="83" t="s">
        <v>12337</v>
      </c>
      <c r="D35" s="84" t="s">
        <v>14994</v>
      </c>
      <c r="E35" s="84" t="s">
        <v>14994</v>
      </c>
      <c r="F35" s="84" t="s">
        <v>395</v>
      </c>
      <c r="G35" s="84" t="s">
        <v>15041</v>
      </c>
      <c r="H35" s="84" t="s">
        <v>15040</v>
      </c>
      <c r="I35" s="84"/>
      <c r="J35" s="84"/>
      <c r="K35" s="84"/>
      <c r="L35" s="84"/>
    </row>
    <row r="36" spans="1:12" ht="15" customHeight="1" thickBot="1" x14ac:dyDescent="0.25">
      <c r="A36" s="83" t="s">
        <v>15042</v>
      </c>
      <c r="B36" s="83" t="s">
        <v>12338</v>
      </c>
      <c r="C36" s="83" t="s">
        <v>12339</v>
      </c>
      <c r="D36" s="84" t="s">
        <v>14994</v>
      </c>
      <c r="E36" s="84" t="s">
        <v>14994</v>
      </c>
      <c r="F36" s="84" t="s">
        <v>395</v>
      </c>
      <c r="G36" s="84" t="s">
        <v>15043</v>
      </c>
      <c r="H36" s="84" t="s">
        <v>15040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13421</v>
      </c>
      <c r="C37" s="83" t="s">
        <v>3105</v>
      </c>
      <c r="D37" s="84" t="s">
        <v>14994</v>
      </c>
      <c r="E37" s="84" t="s">
        <v>14994</v>
      </c>
      <c r="F37" s="84" t="s">
        <v>395</v>
      </c>
      <c r="G37" s="84" t="s">
        <v>15045</v>
      </c>
      <c r="H37" s="84" t="s">
        <v>14995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13422</v>
      </c>
      <c r="C38" s="83" t="s">
        <v>3117</v>
      </c>
      <c r="D38" s="84" t="s">
        <v>14994</v>
      </c>
      <c r="E38" s="84" t="s">
        <v>14994</v>
      </c>
      <c r="F38" s="84" t="s">
        <v>395</v>
      </c>
      <c r="G38" s="84" t="s">
        <v>15047</v>
      </c>
      <c r="H38" s="84" t="s">
        <v>14993</v>
      </c>
      <c r="I38" s="84"/>
      <c r="J38" s="84"/>
      <c r="K38" s="84"/>
      <c r="L38" s="84"/>
    </row>
    <row r="39" spans="1:12" ht="27" customHeight="1" thickBot="1" x14ac:dyDescent="0.25">
      <c r="A39" s="83" t="s">
        <v>15023</v>
      </c>
      <c r="B39" s="83" t="s">
        <v>14316</v>
      </c>
      <c r="C39" s="83" t="s">
        <v>14317</v>
      </c>
      <c r="D39" s="84" t="s">
        <v>14994</v>
      </c>
      <c r="E39" s="84" t="s">
        <v>14994</v>
      </c>
      <c r="F39" s="84" t="s">
        <v>395</v>
      </c>
      <c r="G39" s="84" t="s">
        <v>15039</v>
      </c>
      <c r="H39" s="84" t="s">
        <v>15018</v>
      </c>
      <c r="I39" s="84"/>
      <c r="J39" s="84"/>
      <c r="K39" s="84"/>
      <c r="L39" s="84"/>
    </row>
    <row r="40" spans="1:12" ht="27" customHeight="1" thickBot="1" x14ac:dyDescent="0.25">
      <c r="A40" s="83" t="s">
        <v>15048</v>
      </c>
      <c r="B40" s="83" t="s">
        <v>505</v>
      </c>
      <c r="C40" s="83" t="s">
        <v>506</v>
      </c>
      <c r="D40" s="84" t="s">
        <v>507</v>
      </c>
      <c r="E40" s="84" t="s">
        <v>14994</v>
      </c>
      <c r="F40" s="84" t="s">
        <v>508</v>
      </c>
      <c r="G40" s="84" t="s">
        <v>14994</v>
      </c>
      <c r="H40" s="84" t="s">
        <v>14993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505</v>
      </c>
      <c r="C41" s="83" t="s">
        <v>512</v>
      </c>
      <c r="D41" s="84" t="s">
        <v>507</v>
      </c>
      <c r="E41" s="84" t="s">
        <v>14994</v>
      </c>
      <c r="F41" s="84" t="s">
        <v>508</v>
      </c>
      <c r="G41" s="84" t="s">
        <v>14994</v>
      </c>
      <c r="H41" s="84" t="s">
        <v>15001</v>
      </c>
      <c r="I41" s="84"/>
      <c r="J41" s="84"/>
      <c r="K41" s="84"/>
      <c r="L41" s="84"/>
    </row>
    <row r="42" spans="1:12" ht="15" customHeight="1" thickBot="1" x14ac:dyDescent="0.25">
      <c r="A42" s="83" t="s">
        <v>15050</v>
      </c>
      <c r="B42" s="83" t="s">
        <v>2343</v>
      </c>
      <c r="C42" s="83" t="s">
        <v>2344</v>
      </c>
      <c r="D42" s="84" t="s">
        <v>2345</v>
      </c>
      <c r="E42" s="84" t="s">
        <v>2330</v>
      </c>
      <c r="F42" s="84" t="s">
        <v>508</v>
      </c>
      <c r="G42" s="84" t="s">
        <v>506</v>
      </c>
      <c r="H42" s="84" t="s">
        <v>14998</v>
      </c>
      <c r="I42" s="84"/>
      <c r="J42" s="84"/>
      <c r="K42" s="84"/>
      <c r="L42" s="84"/>
    </row>
    <row r="43" spans="1:12" ht="15" customHeight="1" x14ac:dyDescent="0.2">
      <c r="A43" s="85" t="s">
        <v>15051</v>
      </c>
      <c r="B43" s="85" t="s">
        <v>2343</v>
      </c>
      <c r="C43" s="85" t="s">
        <v>2346</v>
      </c>
      <c r="D43" s="86" t="s">
        <v>2347</v>
      </c>
      <c r="E43" s="86" t="s">
        <v>2330</v>
      </c>
      <c r="F43" s="86" t="s">
        <v>508</v>
      </c>
      <c r="G43" s="86" t="s">
        <v>512</v>
      </c>
      <c r="H43" s="86" t="s">
        <v>15052</v>
      </c>
      <c r="I43" s="86"/>
      <c r="J43" s="86"/>
      <c r="K43" s="86"/>
      <c r="L43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F44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798</v>
      </c>
      <c r="D7" s="84" t="s">
        <v>14997</v>
      </c>
      <c r="E7" s="84" t="s">
        <v>728</v>
      </c>
      <c r="F7" s="84" t="s">
        <v>35</v>
      </c>
      <c r="G7" s="84" t="s">
        <v>817</v>
      </c>
      <c r="H7" s="84" t="s">
        <v>14995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827</v>
      </c>
      <c r="D8" s="84" t="s">
        <v>775</v>
      </c>
      <c r="E8" s="84" t="s">
        <v>524</v>
      </c>
      <c r="F8" s="84" t="s">
        <v>35</v>
      </c>
      <c r="G8" s="84" t="s">
        <v>832</v>
      </c>
      <c r="H8" s="84" t="s">
        <v>14999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699</v>
      </c>
      <c r="C9" s="83" t="s">
        <v>870</v>
      </c>
      <c r="D9" s="84" t="s">
        <v>775</v>
      </c>
      <c r="E9" s="84" t="s">
        <v>765</v>
      </c>
      <c r="F9" s="84" t="s">
        <v>35</v>
      </c>
      <c r="G9" s="84" t="s">
        <v>879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1265</v>
      </c>
      <c r="C10" s="83" t="s">
        <v>1286</v>
      </c>
      <c r="D10" s="84" t="s">
        <v>81</v>
      </c>
      <c r="E10" s="84" t="s">
        <v>728</v>
      </c>
      <c r="F10" s="84" t="s">
        <v>35</v>
      </c>
      <c r="G10" s="84" t="s">
        <v>1292</v>
      </c>
      <c r="H10" s="84" t="s">
        <v>14995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1506</v>
      </c>
      <c r="C11" s="83" t="s">
        <v>1507</v>
      </c>
      <c r="D11" s="84" t="s">
        <v>1508</v>
      </c>
      <c r="E11" s="84" t="s">
        <v>14994</v>
      </c>
      <c r="F11" s="84" t="s">
        <v>35</v>
      </c>
      <c r="G11" s="84" t="s">
        <v>1509</v>
      </c>
      <c r="H11" s="84" t="s">
        <v>14996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8828</v>
      </c>
      <c r="C12" s="83" t="s">
        <v>8838</v>
      </c>
      <c r="D12" s="84" t="s">
        <v>8839</v>
      </c>
      <c r="E12" s="84" t="s">
        <v>8840</v>
      </c>
      <c r="F12" s="84" t="s">
        <v>35</v>
      </c>
      <c r="G12" s="84" t="s">
        <v>8841</v>
      </c>
      <c r="H12" s="84" t="s">
        <v>14995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9440</v>
      </c>
      <c r="C13" s="83" t="s">
        <v>15005</v>
      </c>
      <c r="D13" s="84" t="s">
        <v>1508</v>
      </c>
      <c r="E13" s="84" t="s">
        <v>9598</v>
      </c>
      <c r="F13" s="84" t="s">
        <v>35</v>
      </c>
      <c r="G13" s="84" t="s">
        <v>9663</v>
      </c>
      <c r="H13" s="84" t="s">
        <v>14993</v>
      </c>
      <c r="I13" s="84"/>
      <c r="J13" s="84"/>
      <c r="K13" s="84"/>
      <c r="L13" s="84"/>
    </row>
    <row r="14" spans="1:32" ht="27" customHeight="1" thickBot="1" x14ac:dyDescent="0.25">
      <c r="A14" s="83" t="s">
        <v>15007</v>
      </c>
      <c r="B14" s="83" t="s">
        <v>10594</v>
      </c>
      <c r="C14" s="83" t="s">
        <v>10607</v>
      </c>
      <c r="D14" s="84" t="s">
        <v>14994</v>
      </c>
      <c r="E14" s="84" t="s">
        <v>14994</v>
      </c>
      <c r="F14" s="84" t="s">
        <v>35</v>
      </c>
      <c r="G14" s="84" t="s">
        <v>10608</v>
      </c>
      <c r="H14" s="84" t="s">
        <v>14995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10703</v>
      </c>
      <c r="C15" s="83" t="s">
        <v>10739</v>
      </c>
      <c r="D15" s="84" t="s">
        <v>8153</v>
      </c>
      <c r="E15" s="84" t="s">
        <v>10412</v>
      </c>
      <c r="F15" s="84" t="s">
        <v>35</v>
      </c>
      <c r="G15" s="84" t="s">
        <v>10740</v>
      </c>
      <c r="H15" s="84" t="s">
        <v>14993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10910</v>
      </c>
      <c r="C16" s="83" t="s">
        <v>10919</v>
      </c>
      <c r="D16" s="84" t="s">
        <v>10912</v>
      </c>
      <c r="E16" s="84" t="s">
        <v>3190</v>
      </c>
      <c r="F16" s="84" t="s">
        <v>35</v>
      </c>
      <c r="G16" s="84" t="s">
        <v>10920</v>
      </c>
      <c r="H16" s="84" t="s">
        <v>14998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12659</v>
      </c>
      <c r="C17" s="83" t="s">
        <v>12675</v>
      </c>
      <c r="D17" s="84" t="s">
        <v>760</v>
      </c>
      <c r="E17" s="84" t="s">
        <v>728</v>
      </c>
      <c r="F17" s="84" t="s">
        <v>35</v>
      </c>
      <c r="G17" s="84" t="s">
        <v>12676</v>
      </c>
      <c r="H17" s="84" t="s">
        <v>14995</v>
      </c>
      <c r="I17" s="84"/>
      <c r="J17" s="84"/>
      <c r="K17" s="84"/>
      <c r="L17" s="84"/>
    </row>
    <row r="18" spans="1:12" ht="15" customHeight="1" thickBot="1" x14ac:dyDescent="0.25">
      <c r="A18" s="83" t="s">
        <v>15010</v>
      </c>
      <c r="B18" s="83" t="s">
        <v>12624</v>
      </c>
      <c r="C18" s="83" t="s">
        <v>12973</v>
      </c>
      <c r="D18" s="84" t="s">
        <v>552</v>
      </c>
      <c r="E18" s="84" t="s">
        <v>14994</v>
      </c>
      <c r="F18" s="84" t="s">
        <v>35</v>
      </c>
      <c r="G18" s="84" t="s">
        <v>12977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13093</v>
      </c>
      <c r="D19" s="84" t="s">
        <v>13094</v>
      </c>
      <c r="E19" s="84" t="s">
        <v>13091</v>
      </c>
      <c r="F19" s="84" t="s">
        <v>35</v>
      </c>
      <c r="G19" s="84" t="s">
        <v>13095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13096</v>
      </c>
      <c r="D20" s="84" t="s">
        <v>13094</v>
      </c>
      <c r="E20" s="84" t="s">
        <v>13097</v>
      </c>
      <c r="F20" s="84" t="s">
        <v>35</v>
      </c>
      <c r="G20" s="84" t="s">
        <v>13098</v>
      </c>
      <c r="H20" s="84" t="s">
        <v>14995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13085</v>
      </c>
      <c r="C21" s="83" t="s">
        <v>13099</v>
      </c>
      <c r="D21" s="84" t="s">
        <v>13094</v>
      </c>
      <c r="E21" s="84" t="s">
        <v>13097</v>
      </c>
      <c r="F21" s="84" t="s">
        <v>35</v>
      </c>
      <c r="G21" s="84" t="s">
        <v>13100</v>
      </c>
      <c r="H21" s="84" t="s">
        <v>14995</v>
      </c>
      <c r="I21" s="84"/>
      <c r="J21" s="84"/>
      <c r="K21" s="84"/>
      <c r="L21" s="84"/>
    </row>
    <row r="22" spans="1:12" ht="15" customHeight="1" thickBot="1" x14ac:dyDescent="0.25">
      <c r="A22" s="83" t="s">
        <v>15014</v>
      </c>
      <c r="B22" s="83" t="s">
        <v>13785</v>
      </c>
      <c r="C22" s="83" t="s">
        <v>14099</v>
      </c>
      <c r="D22" s="84" t="s">
        <v>1513</v>
      </c>
      <c r="E22" s="84" t="s">
        <v>14994</v>
      </c>
      <c r="F22" s="84" t="s">
        <v>35</v>
      </c>
      <c r="G22" s="84" t="s">
        <v>14100</v>
      </c>
      <c r="H22" s="84" t="s">
        <v>14995</v>
      </c>
      <c r="I22" s="84"/>
      <c r="J22" s="84"/>
      <c r="K22" s="84"/>
      <c r="L22" s="84"/>
    </row>
    <row r="23" spans="1:12" ht="27" customHeight="1" thickBot="1" x14ac:dyDescent="0.25">
      <c r="A23" s="83" t="s">
        <v>15016</v>
      </c>
      <c r="B23" s="83" t="s">
        <v>8159</v>
      </c>
      <c r="C23" s="83" t="s">
        <v>15015</v>
      </c>
      <c r="D23" s="84" t="s">
        <v>14994</v>
      </c>
      <c r="E23" s="84" t="s">
        <v>6690</v>
      </c>
      <c r="F23" s="84" t="s">
        <v>460</v>
      </c>
      <c r="G23" s="84" t="s">
        <v>8161</v>
      </c>
      <c r="H23" s="84" t="s">
        <v>14993</v>
      </c>
      <c r="I23" s="84"/>
      <c r="J23" s="84"/>
      <c r="K23" s="84"/>
      <c r="L23" s="84"/>
    </row>
    <row r="24" spans="1:12" ht="15" customHeight="1" thickBot="1" x14ac:dyDescent="0.25">
      <c r="A24" s="83" t="s">
        <v>15017</v>
      </c>
      <c r="B24" s="83" t="s">
        <v>8865</v>
      </c>
      <c r="C24" s="83" t="s">
        <v>8923</v>
      </c>
      <c r="D24" s="84" t="s">
        <v>8924</v>
      </c>
      <c r="E24" s="84" t="s">
        <v>6675</v>
      </c>
      <c r="F24" s="84" t="s">
        <v>460</v>
      </c>
      <c r="G24" s="84" t="s">
        <v>8923</v>
      </c>
      <c r="H24" s="84" t="s">
        <v>14993</v>
      </c>
      <c r="I24" s="84"/>
      <c r="J24" s="84"/>
      <c r="K24" s="84"/>
      <c r="L24" s="84"/>
    </row>
    <row r="25" spans="1:12" ht="27" customHeight="1" thickBot="1" x14ac:dyDescent="0.25">
      <c r="A25" s="83" t="s">
        <v>15018</v>
      </c>
      <c r="B25" s="83" t="s">
        <v>1711</v>
      </c>
      <c r="C25" s="83" t="s">
        <v>1712</v>
      </c>
      <c r="D25" s="84" t="s">
        <v>1718</v>
      </c>
      <c r="E25" s="84" t="s">
        <v>14994</v>
      </c>
      <c r="F25" s="84" t="s">
        <v>1714</v>
      </c>
      <c r="G25" s="84" t="s">
        <v>1719</v>
      </c>
      <c r="H25" s="84" t="s">
        <v>14993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2690</v>
      </c>
      <c r="C26" s="83" t="s">
        <v>2762</v>
      </c>
      <c r="D26" s="84" t="s">
        <v>14994</v>
      </c>
      <c r="E26" s="84" t="s">
        <v>14994</v>
      </c>
      <c r="F26" s="84" t="s">
        <v>1714</v>
      </c>
      <c r="G26" s="84" t="s">
        <v>2764</v>
      </c>
      <c r="H26" s="84" t="s">
        <v>14995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14211</v>
      </c>
      <c r="C27" s="83" t="s">
        <v>14225</v>
      </c>
      <c r="D27" s="84" t="s">
        <v>14226</v>
      </c>
      <c r="E27" s="84" t="s">
        <v>14219</v>
      </c>
      <c r="F27" s="84" t="s">
        <v>1714</v>
      </c>
      <c r="G27" s="84" t="s">
        <v>14228</v>
      </c>
      <c r="H27" s="84" t="s">
        <v>14993</v>
      </c>
      <c r="I27" s="84"/>
      <c r="J27" s="84"/>
      <c r="K27" s="84"/>
      <c r="L27" s="84"/>
    </row>
    <row r="28" spans="1:12" ht="27" customHeight="1" thickBot="1" x14ac:dyDescent="0.25">
      <c r="A28" s="83" t="s">
        <v>15021</v>
      </c>
      <c r="B28" s="83" t="s">
        <v>9436</v>
      </c>
      <c r="C28" s="83" t="s">
        <v>9437</v>
      </c>
      <c r="D28" s="84" t="s">
        <v>14994</v>
      </c>
      <c r="E28" s="84" t="s">
        <v>14994</v>
      </c>
      <c r="F28" s="84" t="s">
        <v>9438</v>
      </c>
      <c r="G28" s="84" t="s">
        <v>14994</v>
      </c>
      <c r="H28" s="84" t="s">
        <v>14993</v>
      </c>
      <c r="I28" s="84"/>
      <c r="J28" s="84"/>
      <c r="K28" s="84"/>
      <c r="L28" s="84"/>
    </row>
    <row r="29" spans="1:12" ht="15" customHeight="1" thickBot="1" x14ac:dyDescent="0.25">
      <c r="A29" s="83" t="s">
        <v>15024</v>
      </c>
      <c r="B29" s="83" t="s">
        <v>1377</v>
      </c>
      <c r="C29" s="83" t="s">
        <v>1378</v>
      </c>
      <c r="D29" s="84" t="s">
        <v>14994</v>
      </c>
      <c r="E29" s="84" t="s">
        <v>14994</v>
      </c>
      <c r="F29" s="84" t="s">
        <v>395</v>
      </c>
      <c r="G29" s="84" t="s">
        <v>15022</v>
      </c>
      <c r="H29" s="84" t="s">
        <v>15023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15025</v>
      </c>
      <c r="C30" s="83" t="s">
        <v>1389</v>
      </c>
      <c r="D30" s="84" t="s">
        <v>14994</v>
      </c>
      <c r="E30" s="84" t="s">
        <v>14994</v>
      </c>
      <c r="F30" s="84" t="s">
        <v>395</v>
      </c>
      <c r="G30" s="84" t="s">
        <v>15026</v>
      </c>
      <c r="H30" s="84" t="s">
        <v>15052</v>
      </c>
      <c r="I30" s="84"/>
      <c r="J30" s="84"/>
      <c r="K30" s="84"/>
      <c r="L30" s="84"/>
    </row>
    <row r="31" spans="1:12" ht="27" customHeight="1" thickBot="1" x14ac:dyDescent="0.25">
      <c r="A31" s="83" t="s">
        <v>15031</v>
      </c>
      <c r="B31" s="83" t="s">
        <v>1396</v>
      </c>
      <c r="C31" s="83" t="s">
        <v>1398</v>
      </c>
      <c r="D31" s="84" t="s">
        <v>14994</v>
      </c>
      <c r="E31" s="84" t="s">
        <v>14994</v>
      </c>
      <c r="F31" s="84" t="s">
        <v>395</v>
      </c>
      <c r="G31" s="84" t="s">
        <v>15029</v>
      </c>
      <c r="H31" s="84" t="s">
        <v>15056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1402</v>
      </c>
      <c r="C32" s="83" t="s">
        <v>1404</v>
      </c>
      <c r="D32" s="84" t="s">
        <v>14994</v>
      </c>
      <c r="E32" s="84" t="s">
        <v>14994</v>
      </c>
      <c r="F32" s="84" t="s">
        <v>395</v>
      </c>
      <c r="G32" s="84" t="s">
        <v>15032</v>
      </c>
      <c r="H32" s="84" t="s">
        <v>15016</v>
      </c>
      <c r="I32" s="84"/>
      <c r="J32" s="84"/>
      <c r="K32" s="84"/>
      <c r="L32" s="84"/>
    </row>
    <row r="33" spans="1:12" ht="15" customHeight="1" thickBot="1" x14ac:dyDescent="0.25">
      <c r="A33" s="83" t="s">
        <v>15036</v>
      </c>
      <c r="B33" s="83" t="s">
        <v>1405</v>
      </c>
      <c r="C33" s="83" t="s">
        <v>1406</v>
      </c>
      <c r="D33" s="84" t="s">
        <v>14994</v>
      </c>
      <c r="E33" s="84" t="s">
        <v>14994</v>
      </c>
      <c r="F33" s="84" t="s">
        <v>395</v>
      </c>
      <c r="G33" s="84" t="s">
        <v>15034</v>
      </c>
      <c r="H33" s="84" t="s">
        <v>15057</v>
      </c>
      <c r="I33" s="84"/>
      <c r="J33" s="84"/>
      <c r="K33" s="84"/>
      <c r="L33" s="84"/>
    </row>
    <row r="34" spans="1:12" ht="27" customHeight="1" thickBot="1" x14ac:dyDescent="0.25">
      <c r="A34" s="83" t="s">
        <v>15038</v>
      </c>
      <c r="B34" s="83" t="s">
        <v>1505</v>
      </c>
      <c r="C34" s="83" t="s">
        <v>1480</v>
      </c>
      <c r="D34" s="84" t="s">
        <v>14994</v>
      </c>
      <c r="E34" s="84" t="s">
        <v>1449</v>
      </c>
      <c r="F34" s="84" t="s">
        <v>395</v>
      </c>
      <c r="G34" s="84" t="s">
        <v>15037</v>
      </c>
      <c r="H34" s="84" t="s">
        <v>14998</v>
      </c>
      <c r="I34" s="84"/>
      <c r="J34" s="84"/>
      <c r="K34" s="84"/>
      <c r="L34" s="84"/>
    </row>
    <row r="35" spans="1:12" ht="15" customHeight="1" thickBot="1" x14ac:dyDescent="0.25">
      <c r="A35" s="83" t="s">
        <v>15040</v>
      </c>
      <c r="B35" s="83" t="s">
        <v>5259</v>
      </c>
      <c r="C35" s="83" t="s">
        <v>5283</v>
      </c>
      <c r="D35" s="84" t="s">
        <v>14994</v>
      </c>
      <c r="E35" s="84" t="s">
        <v>14994</v>
      </c>
      <c r="F35" s="84" t="s">
        <v>395</v>
      </c>
      <c r="G35" s="84" t="s">
        <v>15039</v>
      </c>
      <c r="H35" s="84" t="s">
        <v>15018</v>
      </c>
      <c r="I35" s="84"/>
      <c r="J35" s="84"/>
      <c r="K35" s="84"/>
      <c r="L35" s="84"/>
    </row>
    <row r="36" spans="1:12" ht="27" customHeight="1" thickBot="1" x14ac:dyDescent="0.25">
      <c r="A36" s="83" t="s">
        <v>15042</v>
      </c>
      <c r="B36" s="83" t="s">
        <v>12336</v>
      </c>
      <c r="C36" s="83" t="s">
        <v>12337</v>
      </c>
      <c r="D36" s="84" t="s">
        <v>14994</v>
      </c>
      <c r="E36" s="84" t="s">
        <v>14994</v>
      </c>
      <c r="F36" s="84" t="s">
        <v>395</v>
      </c>
      <c r="G36" s="84" t="s">
        <v>15041</v>
      </c>
      <c r="H36" s="84" t="s">
        <v>15036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12338</v>
      </c>
      <c r="C37" s="83" t="s">
        <v>12339</v>
      </c>
      <c r="D37" s="84" t="s">
        <v>14994</v>
      </c>
      <c r="E37" s="84" t="s">
        <v>14994</v>
      </c>
      <c r="F37" s="84" t="s">
        <v>395</v>
      </c>
      <c r="G37" s="84" t="s">
        <v>15043</v>
      </c>
      <c r="H37" s="84" t="s">
        <v>15036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13421</v>
      </c>
      <c r="C38" s="83" t="s">
        <v>3105</v>
      </c>
      <c r="D38" s="84" t="s">
        <v>14994</v>
      </c>
      <c r="E38" s="84" t="s">
        <v>14994</v>
      </c>
      <c r="F38" s="84" t="s">
        <v>395</v>
      </c>
      <c r="G38" s="84" t="s">
        <v>15045</v>
      </c>
      <c r="H38" s="84" t="s">
        <v>14995</v>
      </c>
      <c r="I38" s="84"/>
      <c r="J38" s="84"/>
      <c r="K38" s="84"/>
      <c r="L38" s="84"/>
    </row>
    <row r="39" spans="1:12" ht="15" customHeight="1" thickBot="1" x14ac:dyDescent="0.25">
      <c r="A39" s="83" t="s">
        <v>15023</v>
      </c>
      <c r="B39" s="83" t="s">
        <v>13422</v>
      </c>
      <c r="C39" s="83" t="s">
        <v>3117</v>
      </c>
      <c r="D39" s="84" t="s">
        <v>14994</v>
      </c>
      <c r="E39" s="84" t="s">
        <v>14994</v>
      </c>
      <c r="F39" s="84" t="s">
        <v>395</v>
      </c>
      <c r="G39" s="84" t="s">
        <v>15047</v>
      </c>
      <c r="H39" s="84" t="s">
        <v>14993</v>
      </c>
      <c r="I39" s="84"/>
      <c r="J39" s="84"/>
      <c r="K39" s="84"/>
      <c r="L39" s="84"/>
    </row>
    <row r="40" spans="1:12" ht="27" customHeight="1" thickBot="1" x14ac:dyDescent="0.25">
      <c r="A40" s="83" t="s">
        <v>15048</v>
      </c>
      <c r="B40" s="83" t="s">
        <v>14316</v>
      </c>
      <c r="C40" s="83" t="s">
        <v>14317</v>
      </c>
      <c r="D40" s="84" t="s">
        <v>14994</v>
      </c>
      <c r="E40" s="84" t="s">
        <v>14994</v>
      </c>
      <c r="F40" s="84" t="s">
        <v>395</v>
      </c>
      <c r="G40" s="84" t="s">
        <v>15039</v>
      </c>
      <c r="H40" s="84" t="s">
        <v>15018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505</v>
      </c>
      <c r="C41" s="83" t="s">
        <v>506</v>
      </c>
      <c r="D41" s="84" t="s">
        <v>507</v>
      </c>
      <c r="E41" s="84" t="s">
        <v>14994</v>
      </c>
      <c r="F41" s="84" t="s">
        <v>508</v>
      </c>
      <c r="G41" s="84" t="s">
        <v>14994</v>
      </c>
      <c r="H41" s="84" t="s">
        <v>14993</v>
      </c>
      <c r="I41" s="84"/>
      <c r="J41" s="84"/>
      <c r="K41" s="84"/>
      <c r="L41" s="84"/>
    </row>
    <row r="42" spans="1:12" ht="27" customHeight="1" thickBot="1" x14ac:dyDescent="0.25">
      <c r="A42" s="83" t="s">
        <v>15050</v>
      </c>
      <c r="B42" s="83" t="s">
        <v>505</v>
      </c>
      <c r="C42" s="83" t="s">
        <v>512</v>
      </c>
      <c r="D42" s="84" t="s">
        <v>507</v>
      </c>
      <c r="E42" s="84" t="s">
        <v>14994</v>
      </c>
      <c r="F42" s="84" t="s">
        <v>508</v>
      </c>
      <c r="G42" s="84" t="s">
        <v>14994</v>
      </c>
      <c r="H42" s="84" t="s">
        <v>15001</v>
      </c>
      <c r="I42" s="84"/>
      <c r="J42" s="84"/>
      <c r="K42" s="84"/>
      <c r="L42" s="84"/>
    </row>
    <row r="43" spans="1:12" ht="15" customHeight="1" thickBot="1" x14ac:dyDescent="0.25">
      <c r="A43" s="83" t="s">
        <v>15051</v>
      </c>
      <c r="B43" s="83" t="s">
        <v>2343</v>
      </c>
      <c r="C43" s="83" t="s">
        <v>2344</v>
      </c>
      <c r="D43" s="84" t="s">
        <v>2345</v>
      </c>
      <c r="E43" s="84" t="s">
        <v>2330</v>
      </c>
      <c r="F43" s="84" t="s">
        <v>508</v>
      </c>
      <c r="G43" s="84" t="s">
        <v>506</v>
      </c>
      <c r="H43" s="84" t="s">
        <v>14998</v>
      </c>
      <c r="I43" s="84"/>
      <c r="J43" s="84"/>
      <c r="K43" s="84"/>
      <c r="L43" s="84"/>
    </row>
    <row r="44" spans="1:12" ht="15" customHeight="1" x14ac:dyDescent="0.2">
      <c r="A44" s="85" t="s">
        <v>15058</v>
      </c>
      <c r="B44" s="85" t="s">
        <v>2343</v>
      </c>
      <c r="C44" s="85" t="s">
        <v>2346</v>
      </c>
      <c r="D44" s="86" t="s">
        <v>2347</v>
      </c>
      <c r="E44" s="86" t="s">
        <v>2330</v>
      </c>
      <c r="F44" s="86" t="s">
        <v>508</v>
      </c>
      <c r="G44" s="86" t="s">
        <v>512</v>
      </c>
      <c r="H44" s="86" t="s">
        <v>15052</v>
      </c>
      <c r="I44" s="86"/>
      <c r="J44" s="86"/>
      <c r="K44" s="86"/>
      <c r="L44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44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798</v>
      </c>
      <c r="D7" s="84" t="s">
        <v>14997</v>
      </c>
      <c r="E7" s="84" t="s">
        <v>728</v>
      </c>
      <c r="F7" s="84" t="s">
        <v>35</v>
      </c>
      <c r="G7" s="84" t="s">
        <v>817</v>
      </c>
      <c r="H7" s="84" t="s">
        <v>14995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827</v>
      </c>
      <c r="D8" s="84" t="s">
        <v>775</v>
      </c>
      <c r="E8" s="84" t="s">
        <v>524</v>
      </c>
      <c r="F8" s="84" t="s">
        <v>35</v>
      </c>
      <c r="G8" s="84" t="s">
        <v>832</v>
      </c>
      <c r="H8" s="84" t="s">
        <v>14999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699</v>
      </c>
      <c r="C9" s="83" t="s">
        <v>870</v>
      </c>
      <c r="D9" s="84" t="s">
        <v>775</v>
      </c>
      <c r="E9" s="84" t="s">
        <v>765</v>
      </c>
      <c r="F9" s="84" t="s">
        <v>35</v>
      </c>
      <c r="G9" s="84" t="s">
        <v>879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1265</v>
      </c>
      <c r="C10" s="83" t="s">
        <v>1286</v>
      </c>
      <c r="D10" s="84" t="s">
        <v>81</v>
      </c>
      <c r="E10" s="84" t="s">
        <v>728</v>
      </c>
      <c r="F10" s="84" t="s">
        <v>35</v>
      </c>
      <c r="G10" s="84" t="s">
        <v>1292</v>
      </c>
      <c r="H10" s="84" t="s">
        <v>14995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1506</v>
      </c>
      <c r="C11" s="83" t="s">
        <v>1507</v>
      </c>
      <c r="D11" s="84" t="s">
        <v>1508</v>
      </c>
      <c r="E11" s="84" t="s">
        <v>14994</v>
      </c>
      <c r="F11" s="84" t="s">
        <v>35</v>
      </c>
      <c r="G11" s="84" t="s">
        <v>1509</v>
      </c>
      <c r="H11" s="84" t="s">
        <v>14996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8828</v>
      </c>
      <c r="C12" s="83" t="s">
        <v>8838</v>
      </c>
      <c r="D12" s="84" t="s">
        <v>8839</v>
      </c>
      <c r="E12" s="84" t="s">
        <v>8840</v>
      </c>
      <c r="F12" s="84" t="s">
        <v>35</v>
      </c>
      <c r="G12" s="84" t="s">
        <v>8841</v>
      </c>
      <c r="H12" s="84" t="s">
        <v>14995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9440</v>
      </c>
      <c r="C13" s="83" t="s">
        <v>15005</v>
      </c>
      <c r="D13" s="84" t="s">
        <v>1508</v>
      </c>
      <c r="E13" s="84" t="s">
        <v>9598</v>
      </c>
      <c r="F13" s="84" t="s">
        <v>35</v>
      </c>
      <c r="G13" s="84" t="s">
        <v>9663</v>
      </c>
      <c r="H13" s="84" t="s">
        <v>14993</v>
      </c>
      <c r="I13" s="84"/>
      <c r="J13" s="84"/>
      <c r="K13" s="84"/>
      <c r="L13" s="84"/>
    </row>
    <row r="14" spans="1:32" ht="27" customHeight="1" thickBot="1" x14ac:dyDescent="0.25">
      <c r="A14" s="83" t="s">
        <v>15007</v>
      </c>
      <c r="B14" s="83" t="s">
        <v>10594</v>
      </c>
      <c r="C14" s="83" t="s">
        <v>10607</v>
      </c>
      <c r="D14" s="84" t="s">
        <v>14994</v>
      </c>
      <c r="E14" s="84" t="s">
        <v>14994</v>
      </c>
      <c r="F14" s="84" t="s">
        <v>35</v>
      </c>
      <c r="G14" s="84" t="s">
        <v>10608</v>
      </c>
      <c r="H14" s="84" t="s">
        <v>14995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10703</v>
      </c>
      <c r="C15" s="83" t="s">
        <v>10739</v>
      </c>
      <c r="D15" s="84" t="s">
        <v>8153</v>
      </c>
      <c r="E15" s="84" t="s">
        <v>10412</v>
      </c>
      <c r="F15" s="84" t="s">
        <v>35</v>
      </c>
      <c r="G15" s="84" t="s">
        <v>10740</v>
      </c>
      <c r="H15" s="84" t="s">
        <v>14993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10910</v>
      </c>
      <c r="C16" s="83" t="s">
        <v>10919</v>
      </c>
      <c r="D16" s="84" t="s">
        <v>10912</v>
      </c>
      <c r="E16" s="84" t="s">
        <v>3190</v>
      </c>
      <c r="F16" s="84" t="s">
        <v>35</v>
      </c>
      <c r="G16" s="84" t="s">
        <v>10920</v>
      </c>
      <c r="H16" s="84" t="s">
        <v>14998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12659</v>
      </c>
      <c r="C17" s="83" t="s">
        <v>12675</v>
      </c>
      <c r="D17" s="84" t="s">
        <v>760</v>
      </c>
      <c r="E17" s="84" t="s">
        <v>728</v>
      </c>
      <c r="F17" s="84" t="s">
        <v>35</v>
      </c>
      <c r="G17" s="84" t="s">
        <v>12676</v>
      </c>
      <c r="H17" s="84" t="s">
        <v>14995</v>
      </c>
      <c r="I17" s="84"/>
      <c r="J17" s="84"/>
      <c r="K17" s="84"/>
      <c r="L17" s="84"/>
    </row>
    <row r="18" spans="1:12" ht="15" customHeight="1" thickBot="1" x14ac:dyDescent="0.25">
      <c r="A18" s="83" t="s">
        <v>15010</v>
      </c>
      <c r="B18" s="83" t="s">
        <v>12624</v>
      </c>
      <c r="C18" s="83" t="s">
        <v>12973</v>
      </c>
      <c r="D18" s="84" t="s">
        <v>552</v>
      </c>
      <c r="E18" s="84" t="s">
        <v>14994</v>
      </c>
      <c r="F18" s="84" t="s">
        <v>35</v>
      </c>
      <c r="G18" s="84" t="s">
        <v>12977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13093</v>
      </c>
      <c r="D19" s="84" t="s">
        <v>13094</v>
      </c>
      <c r="E19" s="84" t="s">
        <v>13091</v>
      </c>
      <c r="F19" s="84" t="s">
        <v>35</v>
      </c>
      <c r="G19" s="84" t="s">
        <v>13095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13096</v>
      </c>
      <c r="D20" s="84" t="s">
        <v>13094</v>
      </c>
      <c r="E20" s="84" t="s">
        <v>13097</v>
      </c>
      <c r="F20" s="84" t="s">
        <v>35</v>
      </c>
      <c r="G20" s="84" t="s">
        <v>13098</v>
      </c>
      <c r="H20" s="84" t="s">
        <v>14995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13085</v>
      </c>
      <c r="C21" s="83" t="s">
        <v>13099</v>
      </c>
      <c r="D21" s="84" t="s">
        <v>13094</v>
      </c>
      <c r="E21" s="84" t="s">
        <v>13097</v>
      </c>
      <c r="F21" s="84" t="s">
        <v>35</v>
      </c>
      <c r="G21" s="84" t="s">
        <v>13100</v>
      </c>
      <c r="H21" s="84" t="s">
        <v>14995</v>
      </c>
      <c r="I21" s="84"/>
      <c r="J21" s="84"/>
      <c r="K21" s="84"/>
      <c r="L21" s="84"/>
    </row>
    <row r="22" spans="1:12" ht="15" customHeight="1" thickBot="1" x14ac:dyDescent="0.25">
      <c r="A22" s="83" t="s">
        <v>15014</v>
      </c>
      <c r="B22" s="83" t="s">
        <v>13785</v>
      </c>
      <c r="C22" s="83" t="s">
        <v>14099</v>
      </c>
      <c r="D22" s="84" t="s">
        <v>1513</v>
      </c>
      <c r="E22" s="84" t="s">
        <v>14994</v>
      </c>
      <c r="F22" s="84" t="s">
        <v>35</v>
      </c>
      <c r="G22" s="84" t="s">
        <v>14100</v>
      </c>
      <c r="H22" s="84" t="s">
        <v>14995</v>
      </c>
      <c r="I22" s="84"/>
      <c r="J22" s="84"/>
      <c r="K22" s="84"/>
      <c r="L22" s="84"/>
    </row>
    <row r="23" spans="1:12" ht="27" customHeight="1" thickBot="1" x14ac:dyDescent="0.25">
      <c r="A23" s="83" t="s">
        <v>15016</v>
      </c>
      <c r="B23" s="83" t="s">
        <v>8159</v>
      </c>
      <c r="C23" s="83" t="s">
        <v>15015</v>
      </c>
      <c r="D23" s="84" t="s">
        <v>14994</v>
      </c>
      <c r="E23" s="84" t="s">
        <v>6690</v>
      </c>
      <c r="F23" s="84" t="s">
        <v>460</v>
      </c>
      <c r="G23" s="84" t="s">
        <v>8161</v>
      </c>
      <c r="H23" s="84" t="s">
        <v>14993</v>
      </c>
      <c r="I23" s="84"/>
      <c r="J23" s="84"/>
      <c r="K23" s="84"/>
      <c r="L23" s="84"/>
    </row>
    <row r="24" spans="1:12" ht="15" customHeight="1" thickBot="1" x14ac:dyDescent="0.25">
      <c r="A24" s="83" t="s">
        <v>15017</v>
      </c>
      <c r="B24" s="83" t="s">
        <v>8865</v>
      </c>
      <c r="C24" s="83" t="s">
        <v>8923</v>
      </c>
      <c r="D24" s="84" t="s">
        <v>8924</v>
      </c>
      <c r="E24" s="84" t="s">
        <v>6675</v>
      </c>
      <c r="F24" s="84" t="s">
        <v>460</v>
      </c>
      <c r="G24" s="84" t="s">
        <v>8923</v>
      </c>
      <c r="H24" s="84" t="s">
        <v>14993</v>
      </c>
      <c r="I24" s="84"/>
      <c r="J24" s="84"/>
      <c r="K24" s="84"/>
      <c r="L24" s="84"/>
    </row>
    <row r="25" spans="1:12" ht="27" customHeight="1" thickBot="1" x14ac:dyDescent="0.25">
      <c r="A25" s="83" t="s">
        <v>15018</v>
      </c>
      <c r="B25" s="83" t="s">
        <v>1711</v>
      </c>
      <c r="C25" s="83" t="s">
        <v>1712</v>
      </c>
      <c r="D25" s="84" t="s">
        <v>1718</v>
      </c>
      <c r="E25" s="84" t="s">
        <v>14994</v>
      </c>
      <c r="F25" s="84" t="s">
        <v>1714</v>
      </c>
      <c r="G25" s="84" t="s">
        <v>1719</v>
      </c>
      <c r="H25" s="84" t="s">
        <v>14993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2690</v>
      </c>
      <c r="C26" s="83" t="s">
        <v>2762</v>
      </c>
      <c r="D26" s="84" t="s">
        <v>14994</v>
      </c>
      <c r="E26" s="84" t="s">
        <v>14994</v>
      </c>
      <c r="F26" s="84" t="s">
        <v>1714</v>
      </c>
      <c r="G26" s="84" t="s">
        <v>2764</v>
      </c>
      <c r="H26" s="84" t="s">
        <v>14995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14211</v>
      </c>
      <c r="C27" s="83" t="s">
        <v>14225</v>
      </c>
      <c r="D27" s="84" t="s">
        <v>14226</v>
      </c>
      <c r="E27" s="84" t="s">
        <v>14219</v>
      </c>
      <c r="F27" s="84" t="s">
        <v>1714</v>
      </c>
      <c r="G27" s="84" t="s">
        <v>14228</v>
      </c>
      <c r="H27" s="84" t="s">
        <v>14993</v>
      </c>
      <c r="I27" s="84"/>
      <c r="J27" s="84"/>
      <c r="K27" s="84"/>
      <c r="L27" s="84"/>
    </row>
    <row r="28" spans="1:12" ht="27" customHeight="1" thickBot="1" x14ac:dyDescent="0.25">
      <c r="A28" s="83" t="s">
        <v>15021</v>
      </c>
      <c r="B28" s="83" t="s">
        <v>9436</v>
      </c>
      <c r="C28" s="83" t="s">
        <v>9437</v>
      </c>
      <c r="D28" s="84" t="s">
        <v>14994</v>
      </c>
      <c r="E28" s="84" t="s">
        <v>14994</v>
      </c>
      <c r="F28" s="84" t="s">
        <v>9438</v>
      </c>
      <c r="G28" s="84" t="s">
        <v>14994</v>
      </c>
      <c r="H28" s="84" t="s">
        <v>14993</v>
      </c>
      <c r="I28" s="84"/>
      <c r="J28" s="84"/>
      <c r="K28" s="84"/>
      <c r="L28" s="84"/>
    </row>
    <row r="29" spans="1:12" ht="15" customHeight="1" thickBot="1" x14ac:dyDescent="0.25">
      <c r="A29" s="83" t="s">
        <v>15024</v>
      </c>
      <c r="B29" s="83" t="s">
        <v>1377</v>
      </c>
      <c r="C29" s="83" t="s">
        <v>1378</v>
      </c>
      <c r="D29" s="84" t="s">
        <v>14994</v>
      </c>
      <c r="E29" s="84" t="s">
        <v>14994</v>
      </c>
      <c r="F29" s="84" t="s">
        <v>395</v>
      </c>
      <c r="G29" s="84" t="s">
        <v>15022</v>
      </c>
      <c r="H29" s="84" t="s">
        <v>15023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15025</v>
      </c>
      <c r="C30" s="83" t="s">
        <v>1389</v>
      </c>
      <c r="D30" s="84" t="s">
        <v>14994</v>
      </c>
      <c r="E30" s="84" t="s">
        <v>14994</v>
      </c>
      <c r="F30" s="84" t="s">
        <v>395</v>
      </c>
      <c r="G30" s="84" t="s">
        <v>15026</v>
      </c>
      <c r="H30" s="84" t="s">
        <v>15052</v>
      </c>
      <c r="I30" s="84"/>
      <c r="J30" s="84"/>
      <c r="K30" s="84"/>
      <c r="L30" s="84"/>
    </row>
    <row r="31" spans="1:12" ht="27" customHeight="1" thickBot="1" x14ac:dyDescent="0.25">
      <c r="A31" s="83" t="s">
        <v>15031</v>
      </c>
      <c r="B31" s="83" t="s">
        <v>1396</v>
      </c>
      <c r="C31" s="83" t="s">
        <v>1398</v>
      </c>
      <c r="D31" s="84" t="s">
        <v>14994</v>
      </c>
      <c r="E31" s="84" t="s">
        <v>14994</v>
      </c>
      <c r="F31" s="84" t="s">
        <v>395</v>
      </c>
      <c r="G31" s="84" t="s">
        <v>15029</v>
      </c>
      <c r="H31" s="84" t="s">
        <v>15056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1402</v>
      </c>
      <c r="C32" s="83" t="s">
        <v>1404</v>
      </c>
      <c r="D32" s="84" t="s">
        <v>14994</v>
      </c>
      <c r="E32" s="84" t="s">
        <v>14994</v>
      </c>
      <c r="F32" s="84" t="s">
        <v>395</v>
      </c>
      <c r="G32" s="84" t="s">
        <v>15032</v>
      </c>
      <c r="H32" s="84" t="s">
        <v>15016</v>
      </c>
      <c r="I32" s="84"/>
      <c r="J32" s="84"/>
      <c r="K32" s="84"/>
      <c r="L32" s="84"/>
    </row>
    <row r="33" spans="1:12" ht="15" customHeight="1" thickBot="1" x14ac:dyDescent="0.25">
      <c r="A33" s="83" t="s">
        <v>15036</v>
      </c>
      <c r="B33" s="83" t="s">
        <v>1405</v>
      </c>
      <c r="C33" s="83" t="s">
        <v>1406</v>
      </c>
      <c r="D33" s="84" t="s">
        <v>14994</v>
      </c>
      <c r="E33" s="84" t="s">
        <v>14994</v>
      </c>
      <c r="F33" s="84" t="s">
        <v>395</v>
      </c>
      <c r="G33" s="84" t="s">
        <v>15034</v>
      </c>
      <c r="H33" s="84" t="s">
        <v>15057</v>
      </c>
      <c r="I33" s="84"/>
      <c r="J33" s="84"/>
      <c r="K33" s="84"/>
      <c r="L33" s="84"/>
    </row>
    <row r="34" spans="1:12" ht="27" customHeight="1" thickBot="1" x14ac:dyDescent="0.25">
      <c r="A34" s="83" t="s">
        <v>15038</v>
      </c>
      <c r="B34" s="83" t="s">
        <v>1505</v>
      </c>
      <c r="C34" s="83" t="s">
        <v>1480</v>
      </c>
      <c r="D34" s="84" t="s">
        <v>14994</v>
      </c>
      <c r="E34" s="84" t="s">
        <v>1449</v>
      </c>
      <c r="F34" s="84" t="s">
        <v>395</v>
      </c>
      <c r="G34" s="84" t="s">
        <v>15037</v>
      </c>
      <c r="H34" s="84" t="s">
        <v>14998</v>
      </c>
      <c r="I34" s="84"/>
      <c r="J34" s="84"/>
      <c r="K34" s="84"/>
      <c r="L34" s="84"/>
    </row>
    <row r="35" spans="1:12" ht="15" customHeight="1" thickBot="1" x14ac:dyDescent="0.25">
      <c r="A35" s="83" t="s">
        <v>15040</v>
      </c>
      <c r="B35" s="83" t="s">
        <v>5259</v>
      </c>
      <c r="C35" s="83" t="s">
        <v>5283</v>
      </c>
      <c r="D35" s="84" t="s">
        <v>14994</v>
      </c>
      <c r="E35" s="84" t="s">
        <v>14994</v>
      </c>
      <c r="F35" s="84" t="s">
        <v>395</v>
      </c>
      <c r="G35" s="84" t="s">
        <v>15039</v>
      </c>
      <c r="H35" s="84" t="s">
        <v>15018</v>
      </c>
      <c r="I35" s="84"/>
      <c r="J35" s="84"/>
      <c r="K35" s="84"/>
      <c r="L35" s="84"/>
    </row>
    <row r="36" spans="1:12" ht="27" customHeight="1" thickBot="1" x14ac:dyDescent="0.25">
      <c r="A36" s="83" t="s">
        <v>15042</v>
      </c>
      <c r="B36" s="83" t="s">
        <v>12336</v>
      </c>
      <c r="C36" s="83" t="s">
        <v>12337</v>
      </c>
      <c r="D36" s="84" t="s">
        <v>14994</v>
      </c>
      <c r="E36" s="84" t="s">
        <v>14994</v>
      </c>
      <c r="F36" s="84" t="s">
        <v>395</v>
      </c>
      <c r="G36" s="84" t="s">
        <v>15041</v>
      </c>
      <c r="H36" s="84" t="s">
        <v>15036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12338</v>
      </c>
      <c r="C37" s="83" t="s">
        <v>12339</v>
      </c>
      <c r="D37" s="84" t="s">
        <v>14994</v>
      </c>
      <c r="E37" s="84" t="s">
        <v>14994</v>
      </c>
      <c r="F37" s="84" t="s">
        <v>395</v>
      </c>
      <c r="G37" s="84" t="s">
        <v>15043</v>
      </c>
      <c r="H37" s="84" t="s">
        <v>15036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13421</v>
      </c>
      <c r="C38" s="83" t="s">
        <v>3105</v>
      </c>
      <c r="D38" s="84" t="s">
        <v>14994</v>
      </c>
      <c r="E38" s="84" t="s">
        <v>14994</v>
      </c>
      <c r="F38" s="84" t="s">
        <v>395</v>
      </c>
      <c r="G38" s="84" t="s">
        <v>15045</v>
      </c>
      <c r="H38" s="84" t="s">
        <v>14995</v>
      </c>
      <c r="I38" s="84"/>
      <c r="J38" s="84"/>
      <c r="K38" s="84"/>
      <c r="L38" s="84"/>
    </row>
    <row r="39" spans="1:12" ht="15" customHeight="1" thickBot="1" x14ac:dyDescent="0.25">
      <c r="A39" s="83" t="s">
        <v>15023</v>
      </c>
      <c r="B39" s="83" t="s">
        <v>13422</v>
      </c>
      <c r="C39" s="83" t="s">
        <v>3117</v>
      </c>
      <c r="D39" s="84" t="s">
        <v>14994</v>
      </c>
      <c r="E39" s="84" t="s">
        <v>14994</v>
      </c>
      <c r="F39" s="84" t="s">
        <v>395</v>
      </c>
      <c r="G39" s="84" t="s">
        <v>15047</v>
      </c>
      <c r="H39" s="84" t="s">
        <v>14993</v>
      </c>
      <c r="I39" s="84"/>
      <c r="J39" s="84"/>
      <c r="K39" s="84"/>
      <c r="L39" s="84"/>
    </row>
    <row r="40" spans="1:12" ht="27" customHeight="1" thickBot="1" x14ac:dyDescent="0.25">
      <c r="A40" s="83" t="s">
        <v>15048</v>
      </c>
      <c r="B40" s="83" t="s">
        <v>14316</v>
      </c>
      <c r="C40" s="83" t="s">
        <v>14317</v>
      </c>
      <c r="D40" s="84" t="s">
        <v>14994</v>
      </c>
      <c r="E40" s="84" t="s">
        <v>14994</v>
      </c>
      <c r="F40" s="84" t="s">
        <v>395</v>
      </c>
      <c r="G40" s="84" t="s">
        <v>15039</v>
      </c>
      <c r="H40" s="84" t="s">
        <v>15018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505</v>
      </c>
      <c r="C41" s="83" t="s">
        <v>506</v>
      </c>
      <c r="D41" s="84" t="s">
        <v>507</v>
      </c>
      <c r="E41" s="84" t="s">
        <v>14994</v>
      </c>
      <c r="F41" s="84" t="s">
        <v>508</v>
      </c>
      <c r="G41" s="84" t="s">
        <v>14994</v>
      </c>
      <c r="H41" s="84" t="s">
        <v>14993</v>
      </c>
      <c r="I41" s="84"/>
      <c r="J41" s="84"/>
      <c r="K41" s="84"/>
      <c r="L41" s="84"/>
    </row>
    <row r="42" spans="1:12" ht="27" customHeight="1" thickBot="1" x14ac:dyDescent="0.25">
      <c r="A42" s="83" t="s">
        <v>15050</v>
      </c>
      <c r="B42" s="83" t="s">
        <v>505</v>
      </c>
      <c r="C42" s="83" t="s">
        <v>512</v>
      </c>
      <c r="D42" s="84" t="s">
        <v>507</v>
      </c>
      <c r="E42" s="84" t="s">
        <v>14994</v>
      </c>
      <c r="F42" s="84" t="s">
        <v>508</v>
      </c>
      <c r="G42" s="84" t="s">
        <v>14994</v>
      </c>
      <c r="H42" s="84" t="s">
        <v>15001</v>
      </c>
      <c r="I42" s="84"/>
      <c r="J42" s="84"/>
      <c r="K42" s="84"/>
      <c r="L42" s="84"/>
    </row>
    <row r="43" spans="1:12" ht="15" customHeight="1" thickBot="1" x14ac:dyDescent="0.25">
      <c r="A43" s="83" t="s">
        <v>15051</v>
      </c>
      <c r="B43" s="83" t="s">
        <v>2343</v>
      </c>
      <c r="C43" s="83" t="s">
        <v>2344</v>
      </c>
      <c r="D43" s="84" t="s">
        <v>2345</v>
      </c>
      <c r="E43" s="84" t="s">
        <v>2330</v>
      </c>
      <c r="F43" s="84" t="s">
        <v>508</v>
      </c>
      <c r="G43" s="84" t="s">
        <v>506</v>
      </c>
      <c r="H43" s="84" t="s">
        <v>14998</v>
      </c>
      <c r="I43" s="84"/>
      <c r="J43" s="84"/>
      <c r="K43" s="84"/>
      <c r="L43" s="84"/>
    </row>
    <row r="44" spans="1:12" ht="15" customHeight="1" x14ac:dyDescent="0.2">
      <c r="A44" s="85" t="s">
        <v>15058</v>
      </c>
      <c r="B44" s="85" t="s">
        <v>2343</v>
      </c>
      <c r="C44" s="85" t="s">
        <v>2346</v>
      </c>
      <c r="D44" s="86" t="s">
        <v>2347</v>
      </c>
      <c r="E44" s="86" t="s">
        <v>2330</v>
      </c>
      <c r="F44" s="86" t="s">
        <v>508</v>
      </c>
      <c r="G44" s="86" t="s">
        <v>512</v>
      </c>
      <c r="H44" s="86" t="s">
        <v>15052</v>
      </c>
      <c r="I44" s="86"/>
      <c r="J44" s="86"/>
      <c r="K44" s="86"/>
      <c r="L44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45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827</v>
      </c>
      <c r="D7" s="84" t="s">
        <v>775</v>
      </c>
      <c r="E7" s="84" t="s">
        <v>524</v>
      </c>
      <c r="F7" s="84" t="s">
        <v>35</v>
      </c>
      <c r="G7" s="84" t="s">
        <v>832</v>
      </c>
      <c r="H7" s="84" t="s">
        <v>15011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870</v>
      </c>
      <c r="D8" s="84" t="s">
        <v>775</v>
      </c>
      <c r="E8" s="84" t="s">
        <v>765</v>
      </c>
      <c r="F8" s="84" t="s">
        <v>35</v>
      </c>
      <c r="G8" s="84" t="s">
        <v>879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1286</v>
      </c>
      <c r="D9" s="84" t="s">
        <v>81</v>
      </c>
      <c r="E9" s="84" t="s">
        <v>728</v>
      </c>
      <c r="F9" s="84" t="s">
        <v>35</v>
      </c>
      <c r="G9" s="84" t="s">
        <v>1292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1506</v>
      </c>
      <c r="C10" s="83" t="s">
        <v>1507</v>
      </c>
      <c r="D10" s="84" t="s">
        <v>1508</v>
      </c>
      <c r="E10" s="84" t="s">
        <v>14994</v>
      </c>
      <c r="F10" s="84" t="s">
        <v>35</v>
      </c>
      <c r="G10" s="84" t="s">
        <v>1509</v>
      </c>
      <c r="H10" s="84" t="s">
        <v>14996</v>
      </c>
      <c r="I10" s="84"/>
      <c r="J10" s="84"/>
      <c r="K10" s="84"/>
      <c r="L10" s="84"/>
    </row>
    <row r="11" spans="1:32" ht="27" customHeight="1" thickBot="1" x14ac:dyDescent="0.25">
      <c r="A11" s="83" t="s">
        <v>15003</v>
      </c>
      <c r="B11" s="83" t="s">
        <v>8828</v>
      </c>
      <c r="C11" s="83" t="s">
        <v>8838</v>
      </c>
      <c r="D11" s="84" t="s">
        <v>8839</v>
      </c>
      <c r="E11" s="84" t="s">
        <v>8840</v>
      </c>
      <c r="F11" s="84" t="s">
        <v>35</v>
      </c>
      <c r="G11" s="84" t="s">
        <v>8841</v>
      </c>
      <c r="H11" s="84" t="s">
        <v>14995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9440</v>
      </c>
      <c r="C12" s="83" t="s">
        <v>15005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10594</v>
      </c>
      <c r="C13" s="83" t="s">
        <v>10607</v>
      </c>
      <c r="D13" s="84" t="s">
        <v>14994</v>
      </c>
      <c r="E13" s="84" t="s">
        <v>14994</v>
      </c>
      <c r="F13" s="84" t="s">
        <v>35</v>
      </c>
      <c r="G13" s="84" t="s">
        <v>10608</v>
      </c>
      <c r="H13" s="84" t="s">
        <v>14995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14998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12659</v>
      </c>
      <c r="C16" s="83" t="s">
        <v>12675</v>
      </c>
      <c r="D16" s="84" t="s">
        <v>760</v>
      </c>
      <c r="E16" s="84" t="s">
        <v>728</v>
      </c>
      <c r="F16" s="84" t="s">
        <v>35</v>
      </c>
      <c r="G16" s="84" t="s">
        <v>12676</v>
      </c>
      <c r="H16" s="84" t="s">
        <v>14995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12624</v>
      </c>
      <c r="C17" s="83" t="s">
        <v>12973</v>
      </c>
      <c r="D17" s="84" t="s">
        <v>552</v>
      </c>
      <c r="E17" s="84" t="s">
        <v>14994</v>
      </c>
      <c r="F17" s="84" t="s">
        <v>35</v>
      </c>
      <c r="G17" s="84" t="s">
        <v>12977</v>
      </c>
      <c r="H17" s="84" t="s">
        <v>14995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13085</v>
      </c>
      <c r="C18" s="83" t="s">
        <v>13093</v>
      </c>
      <c r="D18" s="84" t="s">
        <v>13094</v>
      </c>
      <c r="E18" s="84" t="s">
        <v>13091</v>
      </c>
      <c r="F18" s="84" t="s">
        <v>35</v>
      </c>
      <c r="G18" s="84" t="s">
        <v>13095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13096</v>
      </c>
      <c r="D19" s="84" t="s">
        <v>13094</v>
      </c>
      <c r="E19" s="84" t="s">
        <v>13097</v>
      </c>
      <c r="F19" s="84" t="s">
        <v>35</v>
      </c>
      <c r="G19" s="84" t="s">
        <v>13098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13099</v>
      </c>
      <c r="D20" s="84" t="s">
        <v>13094</v>
      </c>
      <c r="E20" s="84" t="s">
        <v>13097</v>
      </c>
      <c r="F20" s="84" t="s">
        <v>35</v>
      </c>
      <c r="G20" s="84" t="s">
        <v>13100</v>
      </c>
      <c r="H20" s="84" t="s">
        <v>14995</v>
      </c>
      <c r="I20" s="84"/>
      <c r="J20" s="84"/>
      <c r="K20" s="84"/>
      <c r="L20" s="84"/>
    </row>
    <row r="21" spans="1:12" ht="15" customHeight="1" thickBot="1" x14ac:dyDescent="0.25">
      <c r="A21" s="83" t="s">
        <v>15013</v>
      </c>
      <c r="B21" s="83" t="s">
        <v>13785</v>
      </c>
      <c r="C21" s="83" t="s">
        <v>14095</v>
      </c>
      <c r="D21" s="84" t="s">
        <v>1513</v>
      </c>
      <c r="E21" s="84" t="s">
        <v>14994</v>
      </c>
      <c r="F21" s="84" t="s">
        <v>35</v>
      </c>
      <c r="G21" s="84" t="s">
        <v>14096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2690</v>
      </c>
      <c r="C22" s="83" t="s">
        <v>2724</v>
      </c>
      <c r="D22" s="84" t="s">
        <v>1038</v>
      </c>
      <c r="E22" s="84" t="s">
        <v>2725</v>
      </c>
      <c r="F22" s="84" t="s">
        <v>1267</v>
      </c>
      <c r="G22" s="84" t="s">
        <v>2724</v>
      </c>
      <c r="H22" s="84" t="s">
        <v>14993</v>
      </c>
      <c r="I22" s="84"/>
      <c r="J22" s="84"/>
      <c r="K22" s="84"/>
      <c r="L22" s="84"/>
    </row>
    <row r="23" spans="1:12" ht="40.5" customHeight="1" thickBot="1" x14ac:dyDescent="0.25">
      <c r="A23" s="83" t="s">
        <v>15016</v>
      </c>
      <c r="B23" s="83" t="s">
        <v>1265</v>
      </c>
      <c r="C23" s="83" t="s">
        <v>1283</v>
      </c>
      <c r="D23" s="84" t="s">
        <v>1284</v>
      </c>
      <c r="E23" s="84" t="s">
        <v>14994</v>
      </c>
      <c r="F23" s="84" t="s">
        <v>430</v>
      </c>
      <c r="G23" s="84" t="s">
        <v>1285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8159</v>
      </c>
      <c r="C24" s="83" t="s">
        <v>15015</v>
      </c>
      <c r="D24" s="84" t="s">
        <v>14994</v>
      </c>
      <c r="E24" s="84" t="s">
        <v>6690</v>
      </c>
      <c r="F24" s="84" t="s">
        <v>460</v>
      </c>
      <c r="G24" s="84" t="s">
        <v>8161</v>
      </c>
      <c r="H24" s="84" t="s">
        <v>14993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8865</v>
      </c>
      <c r="C25" s="83" t="s">
        <v>8923</v>
      </c>
      <c r="D25" s="84" t="s">
        <v>8924</v>
      </c>
      <c r="E25" s="84" t="s">
        <v>6675</v>
      </c>
      <c r="F25" s="84" t="s">
        <v>460</v>
      </c>
      <c r="G25" s="84" t="s">
        <v>8923</v>
      </c>
      <c r="H25" s="84" t="s">
        <v>14993</v>
      </c>
      <c r="I25" s="84"/>
      <c r="J25" s="84"/>
      <c r="K25" s="84"/>
      <c r="L25" s="84"/>
    </row>
    <row r="26" spans="1:12" ht="27" customHeight="1" thickBot="1" x14ac:dyDescent="0.25">
      <c r="A26" s="83" t="s">
        <v>15019</v>
      </c>
      <c r="B26" s="83" t="s">
        <v>1711</v>
      </c>
      <c r="C26" s="83" t="s">
        <v>1712</v>
      </c>
      <c r="D26" s="84" t="s">
        <v>1718</v>
      </c>
      <c r="E26" s="84" t="s">
        <v>14994</v>
      </c>
      <c r="F26" s="84" t="s">
        <v>1714</v>
      </c>
      <c r="G26" s="84" t="s">
        <v>1719</v>
      </c>
      <c r="H26" s="84" t="s">
        <v>14993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2690</v>
      </c>
      <c r="C27" s="83" t="s">
        <v>2762</v>
      </c>
      <c r="D27" s="84" t="s">
        <v>14994</v>
      </c>
      <c r="E27" s="84" t="s">
        <v>14994</v>
      </c>
      <c r="F27" s="84" t="s">
        <v>1714</v>
      </c>
      <c r="G27" s="84" t="s">
        <v>2764</v>
      </c>
      <c r="H27" s="84" t="s">
        <v>14995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14211</v>
      </c>
      <c r="C28" s="83" t="s">
        <v>14225</v>
      </c>
      <c r="D28" s="84" t="s">
        <v>14226</v>
      </c>
      <c r="E28" s="84" t="s">
        <v>14219</v>
      </c>
      <c r="F28" s="84" t="s">
        <v>1714</v>
      </c>
      <c r="G28" s="84" t="s">
        <v>14228</v>
      </c>
      <c r="H28" s="84" t="s">
        <v>14993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9436</v>
      </c>
      <c r="C29" s="83" t="s">
        <v>9437</v>
      </c>
      <c r="D29" s="84" t="s">
        <v>14994</v>
      </c>
      <c r="E29" s="84" t="s">
        <v>14994</v>
      </c>
      <c r="F29" s="84" t="s">
        <v>9438</v>
      </c>
      <c r="G29" s="84" t="s">
        <v>14994</v>
      </c>
      <c r="H29" s="84" t="s">
        <v>14993</v>
      </c>
      <c r="I29" s="84"/>
      <c r="J29" s="84"/>
      <c r="K29" s="84"/>
      <c r="L29" s="84"/>
    </row>
    <row r="30" spans="1:12" ht="15" customHeight="1" thickBot="1" x14ac:dyDescent="0.25">
      <c r="A30" s="83" t="s">
        <v>15028</v>
      </c>
      <c r="B30" s="83" t="s">
        <v>1377</v>
      </c>
      <c r="C30" s="83" t="s">
        <v>1378</v>
      </c>
      <c r="D30" s="84" t="s">
        <v>14994</v>
      </c>
      <c r="E30" s="84" t="s">
        <v>14994</v>
      </c>
      <c r="F30" s="84" t="s">
        <v>395</v>
      </c>
      <c r="G30" s="84" t="s">
        <v>15022</v>
      </c>
      <c r="H30" s="84" t="s">
        <v>15059</v>
      </c>
      <c r="I30" s="84"/>
      <c r="J30" s="84"/>
      <c r="K30" s="84"/>
      <c r="L30" s="84"/>
    </row>
    <row r="31" spans="1:12" ht="27" customHeight="1" thickBot="1" x14ac:dyDescent="0.25">
      <c r="A31" s="83" t="s">
        <v>15031</v>
      </c>
      <c r="B31" s="83" t="s">
        <v>15025</v>
      </c>
      <c r="C31" s="83" t="s">
        <v>1389</v>
      </c>
      <c r="D31" s="84" t="s">
        <v>14994</v>
      </c>
      <c r="E31" s="84" t="s">
        <v>14994</v>
      </c>
      <c r="F31" s="84" t="s">
        <v>395</v>
      </c>
      <c r="G31" s="84" t="s">
        <v>15026</v>
      </c>
      <c r="H31" s="84" t="s">
        <v>15060</v>
      </c>
      <c r="I31" s="84"/>
      <c r="J31" s="84"/>
      <c r="K31" s="84"/>
      <c r="L31" s="84"/>
    </row>
    <row r="32" spans="1:12" ht="27" customHeight="1" thickBot="1" x14ac:dyDescent="0.25">
      <c r="A32" s="83" t="s">
        <v>15033</v>
      </c>
      <c r="B32" s="83" t="s">
        <v>1396</v>
      </c>
      <c r="C32" s="83" t="s">
        <v>1398</v>
      </c>
      <c r="D32" s="84" t="s">
        <v>14994</v>
      </c>
      <c r="E32" s="84" t="s">
        <v>14994</v>
      </c>
      <c r="F32" s="84" t="s">
        <v>395</v>
      </c>
      <c r="G32" s="84" t="s">
        <v>15029</v>
      </c>
      <c r="H32" s="84" t="s">
        <v>15030</v>
      </c>
      <c r="I32" s="84"/>
      <c r="J32" s="84"/>
      <c r="K32" s="84"/>
      <c r="L32" s="84"/>
    </row>
    <row r="33" spans="1:12" ht="15" customHeight="1" thickBot="1" x14ac:dyDescent="0.25">
      <c r="A33" s="83" t="s">
        <v>15036</v>
      </c>
      <c r="B33" s="83" t="s">
        <v>1402</v>
      </c>
      <c r="C33" s="83" t="s">
        <v>1404</v>
      </c>
      <c r="D33" s="84" t="s">
        <v>14994</v>
      </c>
      <c r="E33" s="84" t="s">
        <v>14994</v>
      </c>
      <c r="F33" s="84" t="s">
        <v>395</v>
      </c>
      <c r="G33" s="84" t="s">
        <v>15032</v>
      </c>
      <c r="H33" s="84" t="s">
        <v>15016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1405</v>
      </c>
      <c r="C34" s="83" t="s">
        <v>1406</v>
      </c>
      <c r="D34" s="84" t="s">
        <v>14994</v>
      </c>
      <c r="E34" s="84" t="s">
        <v>14994</v>
      </c>
      <c r="F34" s="84" t="s">
        <v>395</v>
      </c>
      <c r="G34" s="84" t="s">
        <v>15034</v>
      </c>
      <c r="H34" s="84" t="s">
        <v>15061</v>
      </c>
      <c r="I34" s="84"/>
      <c r="J34" s="84"/>
      <c r="K34" s="84"/>
      <c r="L34" s="84"/>
    </row>
    <row r="35" spans="1:12" ht="27" customHeight="1" thickBot="1" x14ac:dyDescent="0.25">
      <c r="A35" s="83" t="s">
        <v>15040</v>
      </c>
      <c r="B35" s="83" t="s">
        <v>1505</v>
      </c>
      <c r="C35" s="83" t="s">
        <v>1480</v>
      </c>
      <c r="D35" s="84" t="s">
        <v>14994</v>
      </c>
      <c r="E35" s="84" t="s">
        <v>1449</v>
      </c>
      <c r="F35" s="84" t="s">
        <v>395</v>
      </c>
      <c r="G35" s="84" t="s">
        <v>15037</v>
      </c>
      <c r="H35" s="84" t="s">
        <v>14998</v>
      </c>
      <c r="I35" s="84"/>
      <c r="J35" s="84"/>
      <c r="K35" s="84"/>
      <c r="L35" s="84"/>
    </row>
    <row r="36" spans="1:12" ht="15" customHeight="1" thickBot="1" x14ac:dyDescent="0.25">
      <c r="A36" s="83" t="s">
        <v>15042</v>
      </c>
      <c r="B36" s="83" t="s">
        <v>5259</v>
      </c>
      <c r="C36" s="83" t="s">
        <v>5283</v>
      </c>
      <c r="D36" s="84" t="s">
        <v>14994</v>
      </c>
      <c r="E36" s="84" t="s">
        <v>14994</v>
      </c>
      <c r="F36" s="84" t="s">
        <v>395</v>
      </c>
      <c r="G36" s="84" t="s">
        <v>15039</v>
      </c>
      <c r="H36" s="84" t="s">
        <v>15018</v>
      </c>
      <c r="I36" s="84"/>
      <c r="J36" s="84"/>
      <c r="K36" s="84"/>
      <c r="L36" s="84"/>
    </row>
    <row r="37" spans="1:12" ht="27" customHeight="1" thickBot="1" x14ac:dyDescent="0.25">
      <c r="A37" s="83" t="s">
        <v>15044</v>
      </c>
      <c r="B37" s="83" t="s">
        <v>12336</v>
      </c>
      <c r="C37" s="83" t="s">
        <v>12337</v>
      </c>
      <c r="D37" s="84" t="s">
        <v>14994</v>
      </c>
      <c r="E37" s="84" t="s">
        <v>14994</v>
      </c>
      <c r="F37" s="84" t="s">
        <v>395</v>
      </c>
      <c r="G37" s="84" t="s">
        <v>15041</v>
      </c>
      <c r="H37" s="84" t="s">
        <v>15028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12338</v>
      </c>
      <c r="C38" s="83" t="s">
        <v>12339</v>
      </c>
      <c r="D38" s="84" t="s">
        <v>14994</v>
      </c>
      <c r="E38" s="84" t="s">
        <v>14994</v>
      </c>
      <c r="F38" s="84" t="s">
        <v>395</v>
      </c>
      <c r="G38" s="84" t="s">
        <v>15043</v>
      </c>
      <c r="H38" s="84" t="s">
        <v>15040</v>
      </c>
      <c r="I38" s="84"/>
      <c r="J38" s="84"/>
      <c r="K38" s="84"/>
      <c r="L38" s="84"/>
    </row>
    <row r="39" spans="1:12" ht="15" customHeight="1" thickBot="1" x14ac:dyDescent="0.25">
      <c r="A39" s="83" t="s">
        <v>15023</v>
      </c>
      <c r="B39" s="83" t="s">
        <v>13421</v>
      </c>
      <c r="C39" s="83" t="s">
        <v>3105</v>
      </c>
      <c r="D39" s="84" t="s">
        <v>14994</v>
      </c>
      <c r="E39" s="84" t="s">
        <v>14994</v>
      </c>
      <c r="F39" s="84" t="s">
        <v>395</v>
      </c>
      <c r="G39" s="84" t="s">
        <v>15045</v>
      </c>
      <c r="H39" s="84" t="s">
        <v>14995</v>
      </c>
      <c r="I39" s="84"/>
      <c r="J39" s="84"/>
      <c r="K39" s="84"/>
      <c r="L39" s="84"/>
    </row>
    <row r="40" spans="1:12" ht="15" customHeight="1" thickBot="1" x14ac:dyDescent="0.25">
      <c r="A40" s="83" t="s">
        <v>15048</v>
      </c>
      <c r="B40" s="83" t="s">
        <v>13422</v>
      </c>
      <c r="C40" s="83" t="s">
        <v>3117</v>
      </c>
      <c r="D40" s="84" t="s">
        <v>14994</v>
      </c>
      <c r="E40" s="84" t="s">
        <v>14994</v>
      </c>
      <c r="F40" s="84" t="s">
        <v>395</v>
      </c>
      <c r="G40" s="84" t="s">
        <v>15047</v>
      </c>
      <c r="H40" s="84" t="s">
        <v>14993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14316</v>
      </c>
      <c r="C41" s="83" t="s">
        <v>14317</v>
      </c>
      <c r="D41" s="84" t="s">
        <v>14994</v>
      </c>
      <c r="E41" s="84" t="s">
        <v>14994</v>
      </c>
      <c r="F41" s="84" t="s">
        <v>395</v>
      </c>
      <c r="G41" s="84" t="s">
        <v>15039</v>
      </c>
      <c r="H41" s="84" t="s">
        <v>15018</v>
      </c>
      <c r="I41" s="84"/>
      <c r="J41" s="84"/>
      <c r="K41" s="84"/>
      <c r="L41" s="84"/>
    </row>
    <row r="42" spans="1:12" ht="27" customHeight="1" thickBot="1" x14ac:dyDescent="0.25">
      <c r="A42" s="83" t="s">
        <v>15050</v>
      </c>
      <c r="B42" s="83" t="s">
        <v>505</v>
      </c>
      <c r="C42" s="83" t="s">
        <v>506</v>
      </c>
      <c r="D42" s="84" t="s">
        <v>507</v>
      </c>
      <c r="E42" s="84" t="s">
        <v>14994</v>
      </c>
      <c r="F42" s="84" t="s">
        <v>508</v>
      </c>
      <c r="G42" s="84" t="s">
        <v>14994</v>
      </c>
      <c r="H42" s="84" t="s">
        <v>14993</v>
      </c>
      <c r="I42" s="84"/>
      <c r="J42" s="84"/>
      <c r="K42" s="84"/>
      <c r="L42" s="84"/>
    </row>
    <row r="43" spans="1:12" ht="27" customHeight="1" thickBot="1" x14ac:dyDescent="0.25">
      <c r="A43" s="83" t="s">
        <v>15051</v>
      </c>
      <c r="B43" s="83" t="s">
        <v>505</v>
      </c>
      <c r="C43" s="83" t="s">
        <v>512</v>
      </c>
      <c r="D43" s="84" t="s">
        <v>507</v>
      </c>
      <c r="E43" s="84" t="s">
        <v>14994</v>
      </c>
      <c r="F43" s="84" t="s">
        <v>508</v>
      </c>
      <c r="G43" s="84" t="s">
        <v>14994</v>
      </c>
      <c r="H43" s="84" t="s">
        <v>15002</v>
      </c>
      <c r="I43" s="84"/>
      <c r="J43" s="84"/>
      <c r="K43" s="84"/>
      <c r="L43" s="84"/>
    </row>
    <row r="44" spans="1:12" ht="15" customHeight="1" thickBot="1" x14ac:dyDescent="0.25">
      <c r="A44" s="83" t="s">
        <v>15058</v>
      </c>
      <c r="B44" s="83" t="s">
        <v>2343</v>
      </c>
      <c r="C44" s="83" t="s">
        <v>2344</v>
      </c>
      <c r="D44" s="84" t="s">
        <v>2345</v>
      </c>
      <c r="E44" s="84" t="s">
        <v>2330</v>
      </c>
      <c r="F44" s="84" t="s">
        <v>508</v>
      </c>
      <c r="G44" s="84" t="s">
        <v>506</v>
      </c>
      <c r="H44" s="84" t="s">
        <v>14998</v>
      </c>
      <c r="I44" s="84"/>
      <c r="J44" s="84"/>
      <c r="K44" s="84"/>
      <c r="L44" s="84"/>
    </row>
    <row r="45" spans="1:12" ht="15" customHeight="1" x14ac:dyDescent="0.2">
      <c r="A45" s="85" t="s">
        <v>15062</v>
      </c>
      <c r="B45" s="85" t="s">
        <v>2343</v>
      </c>
      <c r="C45" s="85" t="s">
        <v>2346</v>
      </c>
      <c r="D45" s="86" t="s">
        <v>2347</v>
      </c>
      <c r="E45" s="86" t="s">
        <v>2330</v>
      </c>
      <c r="F45" s="86" t="s">
        <v>508</v>
      </c>
      <c r="G45" s="86" t="s">
        <v>512</v>
      </c>
      <c r="H45" s="86" t="s">
        <v>15063</v>
      </c>
      <c r="I45" s="86"/>
      <c r="J45" s="86"/>
      <c r="K45" s="86"/>
      <c r="L45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F35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798</v>
      </c>
      <c r="D7" s="84" t="s">
        <v>14997</v>
      </c>
      <c r="E7" s="84" t="s">
        <v>728</v>
      </c>
      <c r="F7" s="84" t="s">
        <v>35</v>
      </c>
      <c r="G7" s="84" t="s">
        <v>817</v>
      </c>
      <c r="H7" s="84" t="s">
        <v>15002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827</v>
      </c>
      <c r="D8" s="84" t="s">
        <v>775</v>
      </c>
      <c r="E8" s="84" t="s">
        <v>524</v>
      </c>
      <c r="F8" s="84" t="s">
        <v>35</v>
      </c>
      <c r="G8" s="84" t="s">
        <v>832</v>
      </c>
      <c r="H8" s="84" t="s">
        <v>15002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1286</v>
      </c>
      <c r="D9" s="84" t="s">
        <v>86</v>
      </c>
      <c r="E9" s="84" t="s">
        <v>765</v>
      </c>
      <c r="F9" s="84" t="s">
        <v>35</v>
      </c>
      <c r="G9" s="84" t="s">
        <v>1301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7923</v>
      </c>
      <c r="C10" s="83" t="s">
        <v>7924</v>
      </c>
      <c r="D10" s="84" t="s">
        <v>7950</v>
      </c>
      <c r="E10" s="84" t="s">
        <v>7925</v>
      </c>
      <c r="F10" s="84" t="s">
        <v>35</v>
      </c>
      <c r="G10" s="84" t="s">
        <v>7951</v>
      </c>
      <c r="H10" s="84" t="s">
        <v>15002</v>
      </c>
      <c r="I10" s="84"/>
      <c r="J10" s="84"/>
      <c r="K10" s="84"/>
      <c r="L10" s="84"/>
    </row>
    <row r="11" spans="1:32" ht="27" customHeight="1" thickBot="1" x14ac:dyDescent="0.25">
      <c r="A11" s="83" t="s">
        <v>15003</v>
      </c>
      <c r="B11" s="83" t="s">
        <v>8828</v>
      </c>
      <c r="C11" s="83" t="s">
        <v>8838</v>
      </c>
      <c r="D11" s="84" t="s">
        <v>8839</v>
      </c>
      <c r="E11" s="84" t="s">
        <v>8840</v>
      </c>
      <c r="F11" s="84" t="s">
        <v>35</v>
      </c>
      <c r="G11" s="84" t="s">
        <v>8841</v>
      </c>
      <c r="H11" s="84" t="s">
        <v>14995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9440</v>
      </c>
      <c r="C12" s="83" t="s">
        <v>15005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10469</v>
      </c>
      <c r="C13" s="83" t="s">
        <v>10532</v>
      </c>
      <c r="D13" s="84" t="s">
        <v>14994</v>
      </c>
      <c r="E13" s="84" t="s">
        <v>14994</v>
      </c>
      <c r="F13" s="84" t="s">
        <v>35</v>
      </c>
      <c r="G13" s="84" t="s">
        <v>10533</v>
      </c>
      <c r="H13" s="84" t="s">
        <v>14993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14996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12624</v>
      </c>
      <c r="C16" s="83" t="s">
        <v>12973</v>
      </c>
      <c r="D16" s="84" t="s">
        <v>552</v>
      </c>
      <c r="E16" s="84" t="s">
        <v>14994</v>
      </c>
      <c r="F16" s="84" t="s">
        <v>35</v>
      </c>
      <c r="G16" s="84" t="s">
        <v>12977</v>
      </c>
      <c r="H16" s="84" t="s">
        <v>14993</v>
      </c>
      <c r="I16" s="84"/>
      <c r="J16" s="84"/>
      <c r="K16" s="84"/>
      <c r="L16" s="84"/>
    </row>
    <row r="17" spans="1:12" ht="27" customHeight="1" thickBot="1" x14ac:dyDescent="0.25">
      <c r="A17" s="83" t="s">
        <v>14999</v>
      </c>
      <c r="B17" s="83" t="s">
        <v>13085</v>
      </c>
      <c r="C17" s="83" t="s">
        <v>13093</v>
      </c>
      <c r="D17" s="84" t="s">
        <v>13094</v>
      </c>
      <c r="E17" s="84" t="s">
        <v>13091</v>
      </c>
      <c r="F17" s="84" t="s">
        <v>35</v>
      </c>
      <c r="G17" s="84" t="s">
        <v>13095</v>
      </c>
      <c r="H17" s="84" t="s">
        <v>14995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13085</v>
      </c>
      <c r="C18" s="83" t="s">
        <v>13096</v>
      </c>
      <c r="D18" s="84" t="s">
        <v>13094</v>
      </c>
      <c r="E18" s="84" t="s">
        <v>13097</v>
      </c>
      <c r="F18" s="84" t="s">
        <v>35</v>
      </c>
      <c r="G18" s="84" t="s">
        <v>13098</v>
      </c>
      <c r="H18" s="84" t="s">
        <v>14995</v>
      </c>
      <c r="I18" s="84"/>
      <c r="J18" s="84"/>
      <c r="K18" s="84"/>
      <c r="L18" s="84"/>
    </row>
    <row r="19" spans="1:12" ht="15" customHeight="1" thickBot="1" x14ac:dyDescent="0.25">
      <c r="A19" s="83" t="s">
        <v>15011</v>
      </c>
      <c r="B19" s="83" t="s">
        <v>13785</v>
      </c>
      <c r="C19" s="83" t="s">
        <v>14117</v>
      </c>
      <c r="D19" s="84" t="s">
        <v>1513</v>
      </c>
      <c r="E19" s="84" t="s">
        <v>14994</v>
      </c>
      <c r="F19" s="84" t="s">
        <v>35</v>
      </c>
      <c r="G19" s="84" t="s">
        <v>14118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8159</v>
      </c>
      <c r="C20" s="83" t="s">
        <v>15015</v>
      </c>
      <c r="D20" s="84" t="s">
        <v>14994</v>
      </c>
      <c r="E20" s="84" t="s">
        <v>6690</v>
      </c>
      <c r="F20" s="84" t="s">
        <v>460</v>
      </c>
      <c r="G20" s="84" t="s">
        <v>8161</v>
      </c>
      <c r="H20" s="84" t="s">
        <v>14993</v>
      </c>
      <c r="I20" s="84"/>
      <c r="J20" s="84"/>
      <c r="K20" s="84"/>
      <c r="L20" s="84"/>
    </row>
    <row r="21" spans="1:12" ht="15" customHeight="1" thickBot="1" x14ac:dyDescent="0.25">
      <c r="A21" s="83" t="s">
        <v>15013</v>
      </c>
      <c r="B21" s="83" t="s">
        <v>8865</v>
      </c>
      <c r="C21" s="83" t="s">
        <v>8923</v>
      </c>
      <c r="D21" s="84" t="s">
        <v>8924</v>
      </c>
      <c r="E21" s="84" t="s">
        <v>6675</v>
      </c>
      <c r="F21" s="84" t="s">
        <v>460</v>
      </c>
      <c r="G21" s="84" t="s">
        <v>8923</v>
      </c>
      <c r="H21" s="84" t="s">
        <v>14993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1711</v>
      </c>
      <c r="C22" s="83" t="s">
        <v>1712</v>
      </c>
      <c r="D22" s="84" t="s">
        <v>1718</v>
      </c>
      <c r="E22" s="84" t="s">
        <v>14994</v>
      </c>
      <c r="F22" s="84" t="s">
        <v>1714</v>
      </c>
      <c r="G22" s="84" t="s">
        <v>1719</v>
      </c>
      <c r="H22" s="84" t="s">
        <v>14993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14211</v>
      </c>
      <c r="C23" s="83" t="s">
        <v>14225</v>
      </c>
      <c r="D23" s="84" t="s">
        <v>14226</v>
      </c>
      <c r="E23" s="84" t="s">
        <v>14219</v>
      </c>
      <c r="F23" s="84" t="s">
        <v>1714</v>
      </c>
      <c r="G23" s="84" t="s">
        <v>14228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9436</v>
      </c>
      <c r="C24" s="83" t="s">
        <v>9437</v>
      </c>
      <c r="D24" s="84" t="s">
        <v>14994</v>
      </c>
      <c r="E24" s="84" t="s">
        <v>14994</v>
      </c>
      <c r="F24" s="84" t="s">
        <v>9438</v>
      </c>
      <c r="G24" s="84" t="s">
        <v>14994</v>
      </c>
      <c r="H24" s="84" t="s">
        <v>14993</v>
      </c>
      <c r="I24" s="84"/>
      <c r="J24" s="84"/>
      <c r="K24" s="84"/>
      <c r="L24" s="84"/>
    </row>
    <row r="25" spans="1:12" ht="27" customHeight="1" thickBot="1" x14ac:dyDescent="0.25">
      <c r="A25" s="83" t="s">
        <v>15018</v>
      </c>
      <c r="B25" s="83" t="s">
        <v>15025</v>
      </c>
      <c r="C25" s="83" t="s">
        <v>1389</v>
      </c>
      <c r="D25" s="84" t="s">
        <v>14994</v>
      </c>
      <c r="E25" s="84" t="s">
        <v>14994</v>
      </c>
      <c r="F25" s="84" t="s">
        <v>395</v>
      </c>
      <c r="G25" s="84" t="s">
        <v>15026</v>
      </c>
      <c r="H25" s="84" t="s">
        <v>15064</v>
      </c>
      <c r="I25" s="84"/>
      <c r="J25" s="84"/>
      <c r="K25" s="84"/>
      <c r="L25" s="84"/>
    </row>
    <row r="26" spans="1:12" ht="27" customHeight="1" thickBot="1" x14ac:dyDescent="0.25">
      <c r="A26" s="83" t="s">
        <v>15019</v>
      </c>
      <c r="B26" s="83" t="s">
        <v>1396</v>
      </c>
      <c r="C26" s="83" t="s">
        <v>1398</v>
      </c>
      <c r="D26" s="84" t="s">
        <v>14994</v>
      </c>
      <c r="E26" s="84" t="s">
        <v>14994</v>
      </c>
      <c r="F26" s="84" t="s">
        <v>395</v>
      </c>
      <c r="G26" s="84" t="s">
        <v>15029</v>
      </c>
      <c r="H26" s="84" t="s">
        <v>15065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1402</v>
      </c>
      <c r="C27" s="83" t="s">
        <v>1404</v>
      </c>
      <c r="D27" s="84" t="s">
        <v>14994</v>
      </c>
      <c r="E27" s="84" t="s">
        <v>14994</v>
      </c>
      <c r="F27" s="84" t="s">
        <v>395</v>
      </c>
      <c r="G27" s="84" t="s">
        <v>15032</v>
      </c>
      <c r="H27" s="84" t="s">
        <v>15051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1405</v>
      </c>
      <c r="C28" s="83" t="s">
        <v>1406</v>
      </c>
      <c r="D28" s="84" t="s">
        <v>14994</v>
      </c>
      <c r="E28" s="84" t="s">
        <v>14994</v>
      </c>
      <c r="F28" s="84" t="s">
        <v>395</v>
      </c>
      <c r="G28" s="84" t="s">
        <v>15034</v>
      </c>
      <c r="H28" s="84" t="s">
        <v>15066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1505</v>
      </c>
      <c r="C29" s="83" t="s">
        <v>1480</v>
      </c>
      <c r="D29" s="84" t="s">
        <v>14994</v>
      </c>
      <c r="E29" s="84" t="s">
        <v>1449</v>
      </c>
      <c r="F29" s="84" t="s">
        <v>395</v>
      </c>
      <c r="G29" s="84" t="s">
        <v>15037</v>
      </c>
      <c r="H29" s="84" t="s">
        <v>15003</v>
      </c>
      <c r="I29" s="84"/>
      <c r="J29" s="84"/>
      <c r="K29" s="84"/>
      <c r="L29" s="84"/>
    </row>
    <row r="30" spans="1:12" ht="15" customHeight="1" thickBot="1" x14ac:dyDescent="0.25">
      <c r="A30" s="83" t="s">
        <v>15028</v>
      </c>
      <c r="B30" s="83" t="s">
        <v>5259</v>
      </c>
      <c r="C30" s="83" t="s">
        <v>5283</v>
      </c>
      <c r="D30" s="84" t="s">
        <v>14994</v>
      </c>
      <c r="E30" s="84" t="s">
        <v>14994</v>
      </c>
      <c r="F30" s="84" t="s">
        <v>395</v>
      </c>
      <c r="G30" s="84" t="s">
        <v>15039</v>
      </c>
      <c r="H30" s="84" t="s">
        <v>15016</v>
      </c>
      <c r="I30" s="84"/>
      <c r="J30" s="84"/>
      <c r="K30" s="84"/>
      <c r="L30" s="84"/>
    </row>
    <row r="31" spans="1:12" ht="27" customHeight="1" thickBot="1" x14ac:dyDescent="0.25">
      <c r="A31" s="83" t="s">
        <v>15031</v>
      </c>
      <c r="B31" s="83" t="s">
        <v>12336</v>
      </c>
      <c r="C31" s="83" t="s">
        <v>12337</v>
      </c>
      <c r="D31" s="84" t="s">
        <v>14994</v>
      </c>
      <c r="E31" s="84" t="s">
        <v>14994</v>
      </c>
      <c r="F31" s="84" t="s">
        <v>395</v>
      </c>
      <c r="G31" s="84" t="s">
        <v>15041</v>
      </c>
      <c r="H31" s="84" t="s">
        <v>15067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12338</v>
      </c>
      <c r="C32" s="83" t="s">
        <v>12339</v>
      </c>
      <c r="D32" s="84" t="s">
        <v>14994</v>
      </c>
      <c r="E32" s="84" t="s">
        <v>14994</v>
      </c>
      <c r="F32" s="84" t="s">
        <v>395</v>
      </c>
      <c r="G32" s="84" t="s">
        <v>15043</v>
      </c>
      <c r="H32" s="84" t="s">
        <v>15040</v>
      </c>
      <c r="I32" s="84"/>
      <c r="J32" s="84"/>
      <c r="K32" s="84"/>
      <c r="L32" s="84"/>
    </row>
    <row r="33" spans="1:12" ht="15" customHeight="1" thickBot="1" x14ac:dyDescent="0.25">
      <c r="A33" s="83" t="s">
        <v>15036</v>
      </c>
      <c r="B33" s="83" t="s">
        <v>13421</v>
      </c>
      <c r="C33" s="83" t="s">
        <v>3105</v>
      </c>
      <c r="D33" s="84" t="s">
        <v>14994</v>
      </c>
      <c r="E33" s="84" t="s">
        <v>14994</v>
      </c>
      <c r="F33" s="84" t="s">
        <v>395</v>
      </c>
      <c r="G33" s="84" t="s">
        <v>15045</v>
      </c>
      <c r="H33" s="84" t="s">
        <v>14995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13422</v>
      </c>
      <c r="C34" s="83" t="s">
        <v>3117</v>
      </c>
      <c r="D34" s="84" t="s">
        <v>14994</v>
      </c>
      <c r="E34" s="84" t="s">
        <v>14994</v>
      </c>
      <c r="F34" s="84" t="s">
        <v>395</v>
      </c>
      <c r="G34" s="84" t="s">
        <v>15047</v>
      </c>
      <c r="H34" s="84" t="s">
        <v>14993</v>
      </c>
      <c r="I34" s="84"/>
      <c r="J34" s="84"/>
      <c r="K34" s="84"/>
      <c r="L34" s="84"/>
    </row>
    <row r="35" spans="1:12" ht="27" customHeight="1" x14ac:dyDescent="0.2">
      <c r="A35" s="85" t="s">
        <v>15040</v>
      </c>
      <c r="B35" s="85" t="s">
        <v>14316</v>
      </c>
      <c r="C35" s="85" t="s">
        <v>14317</v>
      </c>
      <c r="D35" s="86" t="s">
        <v>14994</v>
      </c>
      <c r="E35" s="86" t="s">
        <v>14994</v>
      </c>
      <c r="F35" s="86" t="s">
        <v>395</v>
      </c>
      <c r="G35" s="86" t="s">
        <v>15039</v>
      </c>
      <c r="H35" s="86" t="s">
        <v>15016</v>
      </c>
      <c r="I35" s="86"/>
      <c r="J35" s="86"/>
      <c r="K35" s="86"/>
      <c r="L35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2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10874</v>
      </c>
      <c r="C5" s="83" t="s">
        <v>10875</v>
      </c>
      <c r="D5" s="84" t="s">
        <v>1848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798</v>
      </c>
      <c r="D7" s="84" t="s">
        <v>760</v>
      </c>
      <c r="E7" s="84" t="s">
        <v>728</v>
      </c>
      <c r="F7" s="84" t="s">
        <v>35</v>
      </c>
      <c r="G7" s="84" t="s">
        <v>803</v>
      </c>
      <c r="H7" s="84" t="s">
        <v>15017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827</v>
      </c>
      <c r="D8" s="84" t="s">
        <v>760</v>
      </c>
      <c r="E8" s="84" t="s">
        <v>524</v>
      </c>
      <c r="F8" s="84" t="s">
        <v>35</v>
      </c>
      <c r="G8" s="84" t="s">
        <v>829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699</v>
      </c>
      <c r="C9" s="83" t="s">
        <v>870</v>
      </c>
      <c r="D9" s="84" t="s">
        <v>760</v>
      </c>
      <c r="E9" s="84" t="s">
        <v>765</v>
      </c>
      <c r="F9" s="84" t="s">
        <v>35</v>
      </c>
      <c r="G9" s="84" t="s">
        <v>872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1265</v>
      </c>
      <c r="C10" s="83" t="s">
        <v>1307</v>
      </c>
      <c r="D10" s="84" t="s">
        <v>81</v>
      </c>
      <c r="E10" s="84" t="s">
        <v>1310</v>
      </c>
      <c r="F10" s="84" t="s">
        <v>35</v>
      </c>
      <c r="G10" s="84" t="s">
        <v>1311</v>
      </c>
      <c r="H10" s="84" t="s">
        <v>14995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1506</v>
      </c>
      <c r="C11" s="83" t="s">
        <v>1507</v>
      </c>
      <c r="D11" s="84" t="s">
        <v>1508</v>
      </c>
      <c r="E11" s="84" t="s">
        <v>14994</v>
      </c>
      <c r="F11" s="84" t="s">
        <v>35</v>
      </c>
      <c r="G11" s="84" t="s">
        <v>1509</v>
      </c>
      <c r="H11" s="84" t="s">
        <v>15007</v>
      </c>
      <c r="I11" s="84"/>
      <c r="J11" s="84"/>
      <c r="K11" s="84"/>
      <c r="L11" s="84"/>
    </row>
    <row r="12" spans="1:32" ht="15" customHeight="1" thickBot="1" x14ac:dyDescent="0.25">
      <c r="A12" s="83" t="s">
        <v>15004</v>
      </c>
      <c r="B12" s="83" t="s">
        <v>7923</v>
      </c>
      <c r="C12" s="83" t="s">
        <v>7924</v>
      </c>
      <c r="D12" s="84" t="s">
        <v>81</v>
      </c>
      <c r="E12" s="84" t="s">
        <v>7925</v>
      </c>
      <c r="F12" s="84" t="s">
        <v>35</v>
      </c>
      <c r="G12" s="84" t="s">
        <v>7926</v>
      </c>
      <c r="H12" s="84" t="s">
        <v>14998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8828</v>
      </c>
      <c r="C13" s="83" t="s">
        <v>8838</v>
      </c>
      <c r="D13" s="84" t="s">
        <v>8839</v>
      </c>
      <c r="E13" s="84" t="s">
        <v>8840</v>
      </c>
      <c r="F13" s="84" t="s">
        <v>35</v>
      </c>
      <c r="G13" s="84" t="s">
        <v>8841</v>
      </c>
      <c r="H13" s="84" t="s">
        <v>14995</v>
      </c>
      <c r="I13" s="84"/>
      <c r="J13" s="84"/>
      <c r="K13" s="84"/>
      <c r="L13" s="84"/>
    </row>
    <row r="14" spans="1:32" ht="27" customHeight="1" thickBot="1" x14ac:dyDescent="0.25">
      <c r="A14" s="83" t="s">
        <v>15007</v>
      </c>
      <c r="B14" s="83" t="s">
        <v>9440</v>
      </c>
      <c r="C14" s="83" t="s">
        <v>15005</v>
      </c>
      <c r="D14" s="84" t="s">
        <v>1508</v>
      </c>
      <c r="E14" s="84" t="s">
        <v>9598</v>
      </c>
      <c r="F14" s="84" t="s">
        <v>35</v>
      </c>
      <c r="G14" s="84" t="s">
        <v>9663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10703</v>
      </c>
      <c r="C15" s="83" t="s">
        <v>10739</v>
      </c>
      <c r="D15" s="84" t="s">
        <v>8153</v>
      </c>
      <c r="E15" s="84" t="s">
        <v>10412</v>
      </c>
      <c r="F15" s="84" t="s">
        <v>35</v>
      </c>
      <c r="G15" s="84" t="s">
        <v>10740</v>
      </c>
      <c r="H15" s="84" t="s">
        <v>14993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10910</v>
      </c>
      <c r="C16" s="83" t="s">
        <v>10919</v>
      </c>
      <c r="D16" s="84" t="s">
        <v>10912</v>
      </c>
      <c r="E16" s="84" t="s">
        <v>3190</v>
      </c>
      <c r="F16" s="84" t="s">
        <v>35</v>
      </c>
      <c r="G16" s="84" t="s">
        <v>10920</v>
      </c>
      <c r="H16" s="84" t="s">
        <v>14995</v>
      </c>
      <c r="I16" s="84"/>
      <c r="J16" s="84"/>
      <c r="K16" s="84"/>
      <c r="L16" s="84"/>
    </row>
    <row r="17" spans="1:12" ht="27" customHeight="1" thickBot="1" x14ac:dyDescent="0.25">
      <c r="A17" s="83" t="s">
        <v>14999</v>
      </c>
      <c r="B17" s="83" t="s">
        <v>11640</v>
      </c>
      <c r="C17" s="83" t="s">
        <v>10675</v>
      </c>
      <c r="D17" s="84" t="s">
        <v>14994</v>
      </c>
      <c r="E17" s="84" t="s">
        <v>14994</v>
      </c>
      <c r="F17" s="84" t="s">
        <v>35</v>
      </c>
      <c r="G17" s="84" t="s">
        <v>10676</v>
      </c>
      <c r="H17" s="84" t="s">
        <v>14995</v>
      </c>
      <c r="I17" s="84"/>
      <c r="J17" s="84"/>
      <c r="K17" s="84"/>
      <c r="L17" s="84"/>
    </row>
    <row r="18" spans="1:12" ht="15" customHeight="1" thickBot="1" x14ac:dyDescent="0.25">
      <c r="A18" s="83" t="s">
        <v>15010</v>
      </c>
      <c r="B18" s="83" t="s">
        <v>12625</v>
      </c>
      <c r="C18" s="83" t="s">
        <v>12626</v>
      </c>
      <c r="D18" s="84" t="s">
        <v>12627</v>
      </c>
      <c r="E18" s="84" t="s">
        <v>14994</v>
      </c>
      <c r="F18" s="84" t="s">
        <v>35</v>
      </c>
      <c r="G18" s="84" t="s">
        <v>12628</v>
      </c>
      <c r="H18" s="84" t="s">
        <v>14993</v>
      </c>
      <c r="I18" s="84"/>
      <c r="J18" s="84"/>
      <c r="K18" s="84"/>
      <c r="L18" s="84"/>
    </row>
    <row r="19" spans="1:12" ht="15" customHeight="1" thickBot="1" x14ac:dyDescent="0.25">
      <c r="A19" s="83" t="s">
        <v>15011</v>
      </c>
      <c r="B19" s="83" t="s">
        <v>12624</v>
      </c>
      <c r="C19" s="83" t="s">
        <v>12915</v>
      </c>
      <c r="D19" s="84" t="s">
        <v>7429</v>
      </c>
      <c r="E19" s="84" t="s">
        <v>10683</v>
      </c>
      <c r="F19" s="84" t="s">
        <v>35</v>
      </c>
      <c r="G19" s="84" t="s">
        <v>12916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13093</v>
      </c>
      <c r="D20" s="84" t="s">
        <v>13094</v>
      </c>
      <c r="E20" s="84" t="s">
        <v>13091</v>
      </c>
      <c r="F20" s="84" t="s">
        <v>35</v>
      </c>
      <c r="G20" s="84" t="s">
        <v>13095</v>
      </c>
      <c r="H20" s="84" t="s">
        <v>14995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13085</v>
      </c>
      <c r="C21" s="83" t="s">
        <v>13096</v>
      </c>
      <c r="D21" s="84" t="s">
        <v>13094</v>
      </c>
      <c r="E21" s="84" t="s">
        <v>13097</v>
      </c>
      <c r="F21" s="84" t="s">
        <v>35</v>
      </c>
      <c r="G21" s="84" t="s">
        <v>13098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13085</v>
      </c>
      <c r="C22" s="83" t="s">
        <v>13099</v>
      </c>
      <c r="D22" s="84" t="s">
        <v>13094</v>
      </c>
      <c r="E22" s="84" t="s">
        <v>13097</v>
      </c>
      <c r="F22" s="84" t="s">
        <v>35</v>
      </c>
      <c r="G22" s="84" t="s">
        <v>13100</v>
      </c>
      <c r="H22" s="84" t="s">
        <v>14995</v>
      </c>
      <c r="I22" s="84"/>
      <c r="J22" s="84"/>
      <c r="K22" s="84"/>
      <c r="L22" s="84"/>
    </row>
    <row r="23" spans="1:12" ht="27" customHeight="1" thickBot="1" x14ac:dyDescent="0.25">
      <c r="A23" s="83" t="s">
        <v>15016</v>
      </c>
      <c r="B23" s="83" t="s">
        <v>13785</v>
      </c>
      <c r="C23" s="83" t="s">
        <v>14119</v>
      </c>
      <c r="D23" s="84" t="s">
        <v>1513</v>
      </c>
      <c r="E23" s="84" t="s">
        <v>14994</v>
      </c>
      <c r="F23" s="84" t="s">
        <v>35</v>
      </c>
      <c r="G23" s="84" t="s">
        <v>14120</v>
      </c>
      <c r="H23" s="84" t="s">
        <v>14995</v>
      </c>
      <c r="I23" s="84"/>
      <c r="J23" s="84"/>
      <c r="K23" s="84"/>
      <c r="L23" s="84"/>
    </row>
    <row r="24" spans="1:12" ht="15" customHeight="1" thickBot="1" x14ac:dyDescent="0.25">
      <c r="A24" s="83" t="s">
        <v>15017</v>
      </c>
      <c r="B24" s="83" t="s">
        <v>13785</v>
      </c>
      <c r="C24" s="83" t="s">
        <v>14141</v>
      </c>
      <c r="D24" s="84" t="s">
        <v>1513</v>
      </c>
      <c r="E24" s="84" t="s">
        <v>14994</v>
      </c>
      <c r="F24" s="84" t="s">
        <v>35</v>
      </c>
      <c r="G24" s="84" t="s">
        <v>14142</v>
      </c>
      <c r="H24" s="84" t="s">
        <v>14995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14750</v>
      </c>
      <c r="C25" s="83" t="s">
        <v>14759</v>
      </c>
      <c r="D25" s="84" t="s">
        <v>14994</v>
      </c>
      <c r="E25" s="84" t="s">
        <v>14752</v>
      </c>
      <c r="F25" s="84" t="s">
        <v>35</v>
      </c>
      <c r="G25" s="84" t="s">
        <v>14760</v>
      </c>
      <c r="H25" s="84" t="s">
        <v>14993</v>
      </c>
      <c r="I25" s="84"/>
      <c r="J25" s="84"/>
      <c r="K25" s="84"/>
      <c r="L25" s="84"/>
    </row>
    <row r="26" spans="1:12" ht="27" customHeight="1" thickBot="1" x14ac:dyDescent="0.25">
      <c r="A26" s="83" t="s">
        <v>15019</v>
      </c>
      <c r="B26" s="83" t="s">
        <v>8159</v>
      </c>
      <c r="C26" s="83" t="s">
        <v>15015</v>
      </c>
      <c r="D26" s="84" t="s">
        <v>14994</v>
      </c>
      <c r="E26" s="84" t="s">
        <v>6690</v>
      </c>
      <c r="F26" s="84" t="s">
        <v>460</v>
      </c>
      <c r="G26" s="84" t="s">
        <v>8161</v>
      </c>
      <c r="H26" s="84" t="s">
        <v>14993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8865</v>
      </c>
      <c r="C27" s="83" t="s">
        <v>8923</v>
      </c>
      <c r="D27" s="84" t="s">
        <v>8924</v>
      </c>
      <c r="E27" s="84" t="s">
        <v>6675</v>
      </c>
      <c r="F27" s="84" t="s">
        <v>460</v>
      </c>
      <c r="G27" s="84" t="s">
        <v>8923</v>
      </c>
      <c r="H27" s="84" t="s">
        <v>14993</v>
      </c>
      <c r="I27" s="84"/>
      <c r="J27" s="84"/>
      <c r="K27" s="84"/>
      <c r="L27" s="84"/>
    </row>
    <row r="28" spans="1:12" ht="27" customHeight="1" thickBot="1" x14ac:dyDescent="0.25">
      <c r="A28" s="83" t="s">
        <v>15021</v>
      </c>
      <c r="B28" s="83" t="s">
        <v>1711</v>
      </c>
      <c r="C28" s="83" t="s">
        <v>1712</v>
      </c>
      <c r="D28" s="84" t="s">
        <v>1718</v>
      </c>
      <c r="E28" s="84" t="s">
        <v>14994</v>
      </c>
      <c r="F28" s="84" t="s">
        <v>1714</v>
      </c>
      <c r="G28" s="84" t="s">
        <v>1719</v>
      </c>
      <c r="H28" s="84" t="s">
        <v>14993</v>
      </c>
      <c r="I28" s="84"/>
      <c r="J28" s="84"/>
      <c r="K28" s="84"/>
      <c r="L28" s="84"/>
    </row>
    <row r="29" spans="1:12" ht="15" customHeight="1" thickBot="1" x14ac:dyDescent="0.25">
      <c r="A29" s="83" t="s">
        <v>15024</v>
      </c>
      <c r="B29" s="83" t="s">
        <v>14211</v>
      </c>
      <c r="C29" s="83" t="s">
        <v>14225</v>
      </c>
      <c r="D29" s="84" t="s">
        <v>14226</v>
      </c>
      <c r="E29" s="84" t="s">
        <v>14219</v>
      </c>
      <c r="F29" s="84" t="s">
        <v>1714</v>
      </c>
      <c r="G29" s="84" t="s">
        <v>14228</v>
      </c>
      <c r="H29" s="84" t="s">
        <v>14993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9436</v>
      </c>
      <c r="C30" s="83" t="s">
        <v>9437</v>
      </c>
      <c r="D30" s="84" t="s">
        <v>14994</v>
      </c>
      <c r="E30" s="84" t="s">
        <v>14994</v>
      </c>
      <c r="F30" s="84" t="s">
        <v>9438</v>
      </c>
      <c r="G30" s="84" t="s">
        <v>14994</v>
      </c>
      <c r="H30" s="84" t="s">
        <v>14993</v>
      </c>
      <c r="I30" s="84"/>
      <c r="J30" s="84"/>
      <c r="K30" s="84"/>
      <c r="L30" s="84"/>
    </row>
    <row r="31" spans="1:12" ht="15" customHeight="1" thickBot="1" x14ac:dyDescent="0.25">
      <c r="A31" s="83" t="s">
        <v>15031</v>
      </c>
      <c r="B31" s="83" t="s">
        <v>1377</v>
      </c>
      <c r="C31" s="83" t="s">
        <v>1378</v>
      </c>
      <c r="D31" s="84" t="s">
        <v>14994</v>
      </c>
      <c r="E31" s="84" t="s">
        <v>14994</v>
      </c>
      <c r="F31" s="84" t="s">
        <v>395</v>
      </c>
      <c r="G31" s="84" t="s">
        <v>15022</v>
      </c>
      <c r="H31" s="84" t="s">
        <v>15068</v>
      </c>
      <c r="I31" s="84"/>
      <c r="J31" s="84"/>
      <c r="K31" s="84"/>
      <c r="L31" s="84"/>
    </row>
    <row r="32" spans="1:12" ht="27" customHeight="1" thickBot="1" x14ac:dyDescent="0.25">
      <c r="A32" s="83" t="s">
        <v>15033</v>
      </c>
      <c r="B32" s="83" t="s">
        <v>1381</v>
      </c>
      <c r="C32" s="83" t="s">
        <v>1389</v>
      </c>
      <c r="D32" s="84" t="s">
        <v>14994</v>
      </c>
      <c r="E32" s="84" t="s">
        <v>14994</v>
      </c>
      <c r="F32" s="84" t="s">
        <v>395</v>
      </c>
      <c r="G32" s="84" t="s">
        <v>15026</v>
      </c>
      <c r="H32" s="84" t="s">
        <v>15069</v>
      </c>
      <c r="I32" s="84"/>
      <c r="J32" s="84"/>
      <c r="K32" s="84"/>
      <c r="L32" s="84"/>
    </row>
    <row r="33" spans="1:12" ht="27" customHeight="1" thickBot="1" x14ac:dyDescent="0.25">
      <c r="A33" s="83" t="s">
        <v>15036</v>
      </c>
      <c r="B33" s="83" t="s">
        <v>1396</v>
      </c>
      <c r="C33" s="83" t="s">
        <v>1398</v>
      </c>
      <c r="D33" s="84" t="s">
        <v>14994</v>
      </c>
      <c r="E33" s="84" t="s">
        <v>14994</v>
      </c>
      <c r="F33" s="84" t="s">
        <v>395</v>
      </c>
      <c r="G33" s="84" t="s">
        <v>15029</v>
      </c>
      <c r="H33" s="84" t="s">
        <v>15070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1402</v>
      </c>
      <c r="C34" s="83" t="s">
        <v>1404</v>
      </c>
      <c r="D34" s="84" t="s">
        <v>14994</v>
      </c>
      <c r="E34" s="84" t="s">
        <v>14994</v>
      </c>
      <c r="F34" s="84" t="s">
        <v>395</v>
      </c>
      <c r="G34" s="84" t="s">
        <v>15032</v>
      </c>
      <c r="H34" s="84" t="s">
        <v>15071</v>
      </c>
      <c r="I34" s="84"/>
      <c r="J34" s="84"/>
      <c r="K34" s="84"/>
      <c r="L34" s="84"/>
    </row>
    <row r="35" spans="1:12" ht="15" customHeight="1" thickBot="1" x14ac:dyDescent="0.25">
      <c r="A35" s="83" t="s">
        <v>15040</v>
      </c>
      <c r="B35" s="83" t="s">
        <v>1405</v>
      </c>
      <c r="C35" s="83" t="s">
        <v>1406</v>
      </c>
      <c r="D35" s="84" t="s">
        <v>14994</v>
      </c>
      <c r="E35" s="84" t="s">
        <v>14994</v>
      </c>
      <c r="F35" s="84" t="s">
        <v>395</v>
      </c>
      <c r="G35" s="84" t="s">
        <v>15034</v>
      </c>
      <c r="H35" s="84" t="s">
        <v>15072</v>
      </c>
      <c r="I35" s="84"/>
      <c r="J35" s="84"/>
      <c r="K35" s="84"/>
      <c r="L35" s="84"/>
    </row>
    <row r="36" spans="1:12" ht="27" customHeight="1" thickBot="1" x14ac:dyDescent="0.25">
      <c r="A36" s="83" t="s">
        <v>15042</v>
      </c>
      <c r="B36" s="83" t="s">
        <v>1505</v>
      </c>
      <c r="C36" s="83" t="s">
        <v>1480</v>
      </c>
      <c r="D36" s="84" t="s">
        <v>14994</v>
      </c>
      <c r="E36" s="84" t="s">
        <v>1449</v>
      </c>
      <c r="F36" s="84" t="s">
        <v>395</v>
      </c>
      <c r="G36" s="84" t="s">
        <v>15037</v>
      </c>
      <c r="H36" s="84" t="s">
        <v>15013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5259</v>
      </c>
      <c r="C37" s="83" t="s">
        <v>5283</v>
      </c>
      <c r="D37" s="84" t="s">
        <v>14994</v>
      </c>
      <c r="E37" s="84" t="s">
        <v>14994</v>
      </c>
      <c r="F37" s="84" t="s">
        <v>395</v>
      </c>
      <c r="G37" s="84" t="s">
        <v>15039</v>
      </c>
      <c r="H37" s="84" t="s">
        <v>15050</v>
      </c>
      <c r="I37" s="84"/>
      <c r="J37" s="84"/>
      <c r="K37" s="84"/>
      <c r="L37" s="84"/>
    </row>
    <row r="38" spans="1:12" ht="27" customHeight="1" thickBot="1" x14ac:dyDescent="0.25">
      <c r="A38" s="83" t="s">
        <v>15046</v>
      </c>
      <c r="B38" s="83" t="s">
        <v>12336</v>
      </c>
      <c r="C38" s="83" t="s">
        <v>12337</v>
      </c>
      <c r="D38" s="84" t="s">
        <v>14994</v>
      </c>
      <c r="E38" s="84" t="s">
        <v>14994</v>
      </c>
      <c r="F38" s="84" t="s">
        <v>395</v>
      </c>
      <c r="G38" s="84" t="s">
        <v>15041</v>
      </c>
      <c r="H38" s="84" t="s">
        <v>15016</v>
      </c>
      <c r="I38" s="84"/>
      <c r="J38" s="84"/>
      <c r="K38" s="84"/>
      <c r="L38" s="84"/>
    </row>
    <row r="39" spans="1:12" ht="15" customHeight="1" thickBot="1" x14ac:dyDescent="0.25">
      <c r="A39" s="83" t="s">
        <v>15023</v>
      </c>
      <c r="B39" s="83" t="s">
        <v>12338</v>
      </c>
      <c r="C39" s="83" t="s">
        <v>12339</v>
      </c>
      <c r="D39" s="84" t="s">
        <v>14994</v>
      </c>
      <c r="E39" s="84" t="s">
        <v>14994</v>
      </c>
      <c r="F39" s="84" t="s">
        <v>395</v>
      </c>
      <c r="G39" s="84" t="s">
        <v>15043</v>
      </c>
      <c r="H39" s="84" t="s">
        <v>15073</v>
      </c>
      <c r="I39" s="84"/>
      <c r="J39" s="84"/>
      <c r="K39" s="84"/>
      <c r="L39" s="84"/>
    </row>
    <row r="40" spans="1:12" ht="15" customHeight="1" thickBot="1" x14ac:dyDescent="0.25">
      <c r="A40" s="83" t="s">
        <v>15048</v>
      </c>
      <c r="B40" s="83" t="s">
        <v>13421</v>
      </c>
      <c r="C40" s="83" t="s">
        <v>3105</v>
      </c>
      <c r="D40" s="84" t="s">
        <v>14994</v>
      </c>
      <c r="E40" s="84" t="s">
        <v>14994</v>
      </c>
      <c r="F40" s="84" t="s">
        <v>395</v>
      </c>
      <c r="G40" s="84" t="s">
        <v>15045</v>
      </c>
      <c r="H40" s="84" t="s">
        <v>14993</v>
      </c>
      <c r="I40" s="84"/>
      <c r="J40" s="84"/>
      <c r="K40" s="84"/>
      <c r="L40" s="84"/>
    </row>
    <row r="41" spans="1:12" ht="15" customHeight="1" thickBot="1" x14ac:dyDescent="0.25">
      <c r="A41" s="83" t="s">
        <v>15049</v>
      </c>
      <c r="B41" s="83" t="s">
        <v>13422</v>
      </c>
      <c r="C41" s="83" t="s">
        <v>3117</v>
      </c>
      <c r="D41" s="84" t="s">
        <v>14994</v>
      </c>
      <c r="E41" s="84" t="s">
        <v>14994</v>
      </c>
      <c r="F41" s="84" t="s">
        <v>395</v>
      </c>
      <c r="G41" s="84" t="s">
        <v>15047</v>
      </c>
      <c r="H41" s="84" t="s">
        <v>14993</v>
      </c>
      <c r="I41" s="84"/>
      <c r="J41" s="84"/>
      <c r="K41" s="84"/>
      <c r="L41" s="84"/>
    </row>
    <row r="42" spans="1:12" ht="27" customHeight="1" x14ac:dyDescent="0.2">
      <c r="A42" s="85" t="s">
        <v>15050</v>
      </c>
      <c r="B42" s="85" t="s">
        <v>14316</v>
      </c>
      <c r="C42" s="85" t="s">
        <v>14317</v>
      </c>
      <c r="D42" s="86" t="s">
        <v>14994</v>
      </c>
      <c r="E42" s="86" t="s">
        <v>14994</v>
      </c>
      <c r="F42" s="86" t="s">
        <v>395</v>
      </c>
      <c r="G42" s="86" t="s">
        <v>15039</v>
      </c>
      <c r="H42" s="86" t="s">
        <v>15050</v>
      </c>
      <c r="I42" s="86"/>
      <c r="J42" s="86"/>
      <c r="K42" s="86"/>
      <c r="L42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M.G.P.
Approved / D.FAGIOLI&amp;R&amp;11&amp;F
Date: &amp;D &amp; =IF(0 &lt;&gt;""; Rev. ind.: 0; "")
Sheet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F41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27" customHeight="1" thickBot="1" x14ac:dyDescent="0.25">
      <c r="A5" s="83" t="s">
        <v>14995</v>
      </c>
      <c r="B5" s="83" t="s">
        <v>520</v>
      </c>
      <c r="C5" s="83" t="s">
        <v>644</v>
      </c>
      <c r="D5" s="84" t="s">
        <v>645</v>
      </c>
      <c r="E5" s="84" t="s">
        <v>646</v>
      </c>
      <c r="F5" s="84" t="s">
        <v>35</v>
      </c>
      <c r="G5" s="84" t="s">
        <v>647</v>
      </c>
      <c r="H5" s="84" t="s">
        <v>14995</v>
      </c>
      <c r="I5" s="84"/>
      <c r="J5" s="84"/>
      <c r="K5" s="84"/>
      <c r="L5" s="84"/>
    </row>
    <row r="6" spans="1:32" ht="15" customHeight="1" thickBot="1" x14ac:dyDescent="0.25">
      <c r="A6" s="83" t="s">
        <v>14996</v>
      </c>
      <c r="B6" s="83" t="s">
        <v>699</v>
      </c>
      <c r="C6" s="83" t="s">
        <v>798</v>
      </c>
      <c r="D6" s="84" t="s">
        <v>760</v>
      </c>
      <c r="E6" s="84" t="s">
        <v>728</v>
      </c>
      <c r="F6" s="84" t="s">
        <v>35</v>
      </c>
      <c r="G6" s="84" t="s">
        <v>803</v>
      </c>
      <c r="H6" s="84" t="s">
        <v>15017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827</v>
      </c>
      <c r="D7" s="84" t="s">
        <v>760</v>
      </c>
      <c r="E7" s="84" t="s">
        <v>524</v>
      </c>
      <c r="F7" s="84" t="s">
        <v>35</v>
      </c>
      <c r="G7" s="84" t="s">
        <v>829</v>
      </c>
      <c r="H7" s="84" t="s">
        <v>14995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870</v>
      </c>
      <c r="D8" s="84" t="s">
        <v>760</v>
      </c>
      <c r="E8" s="84" t="s">
        <v>765</v>
      </c>
      <c r="F8" s="84" t="s">
        <v>35</v>
      </c>
      <c r="G8" s="84" t="s">
        <v>872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1307</v>
      </c>
      <c r="D9" s="84" t="s">
        <v>81</v>
      </c>
      <c r="E9" s="84" t="s">
        <v>1310</v>
      </c>
      <c r="F9" s="84" t="s">
        <v>35</v>
      </c>
      <c r="G9" s="84" t="s">
        <v>1311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1506</v>
      </c>
      <c r="C10" s="83" t="s">
        <v>1507</v>
      </c>
      <c r="D10" s="84" t="s">
        <v>1508</v>
      </c>
      <c r="E10" s="84" t="s">
        <v>14994</v>
      </c>
      <c r="F10" s="84" t="s">
        <v>35</v>
      </c>
      <c r="G10" s="84" t="s">
        <v>1509</v>
      </c>
      <c r="H10" s="84" t="s">
        <v>15007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7923</v>
      </c>
      <c r="C11" s="83" t="s">
        <v>7924</v>
      </c>
      <c r="D11" s="84" t="s">
        <v>81</v>
      </c>
      <c r="E11" s="84" t="s">
        <v>7925</v>
      </c>
      <c r="F11" s="84" t="s">
        <v>35</v>
      </c>
      <c r="G11" s="84" t="s">
        <v>7926</v>
      </c>
      <c r="H11" s="84" t="s">
        <v>14998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8828</v>
      </c>
      <c r="C12" s="83" t="s">
        <v>8838</v>
      </c>
      <c r="D12" s="84" t="s">
        <v>8839</v>
      </c>
      <c r="E12" s="84" t="s">
        <v>8840</v>
      </c>
      <c r="F12" s="84" t="s">
        <v>35</v>
      </c>
      <c r="G12" s="84" t="s">
        <v>8841</v>
      </c>
      <c r="H12" s="84" t="s">
        <v>14995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9440</v>
      </c>
      <c r="C13" s="83" t="s">
        <v>15005</v>
      </c>
      <c r="D13" s="84" t="s">
        <v>1508</v>
      </c>
      <c r="E13" s="84" t="s">
        <v>9598</v>
      </c>
      <c r="F13" s="84" t="s">
        <v>35</v>
      </c>
      <c r="G13" s="84" t="s">
        <v>9663</v>
      </c>
      <c r="H13" s="84" t="s">
        <v>14993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14995</v>
      </c>
      <c r="I15" s="84"/>
      <c r="J15" s="84"/>
      <c r="K15" s="84"/>
      <c r="L15" s="84"/>
    </row>
    <row r="16" spans="1:32" ht="27" customHeight="1" thickBot="1" x14ac:dyDescent="0.25">
      <c r="A16" s="83" t="s">
        <v>15009</v>
      </c>
      <c r="B16" s="83" t="s">
        <v>11640</v>
      </c>
      <c r="C16" s="83" t="s">
        <v>10675</v>
      </c>
      <c r="D16" s="84" t="s">
        <v>14994</v>
      </c>
      <c r="E16" s="84" t="s">
        <v>14994</v>
      </c>
      <c r="F16" s="84" t="s">
        <v>35</v>
      </c>
      <c r="G16" s="84" t="s">
        <v>10676</v>
      </c>
      <c r="H16" s="84" t="s">
        <v>14995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12625</v>
      </c>
      <c r="C17" s="83" t="s">
        <v>12626</v>
      </c>
      <c r="D17" s="84" t="s">
        <v>12627</v>
      </c>
      <c r="E17" s="84" t="s">
        <v>14994</v>
      </c>
      <c r="F17" s="84" t="s">
        <v>35</v>
      </c>
      <c r="G17" s="84" t="s">
        <v>12628</v>
      </c>
      <c r="H17" s="84" t="s">
        <v>14993</v>
      </c>
      <c r="I17" s="84"/>
      <c r="J17" s="84"/>
      <c r="K17" s="84"/>
      <c r="L17" s="84"/>
    </row>
    <row r="18" spans="1:12" ht="15" customHeight="1" thickBot="1" x14ac:dyDescent="0.25">
      <c r="A18" s="83" t="s">
        <v>15010</v>
      </c>
      <c r="B18" s="83" t="s">
        <v>12624</v>
      </c>
      <c r="C18" s="83" t="s">
        <v>12915</v>
      </c>
      <c r="D18" s="84" t="s">
        <v>7429</v>
      </c>
      <c r="E18" s="84" t="s">
        <v>10683</v>
      </c>
      <c r="F18" s="84" t="s">
        <v>35</v>
      </c>
      <c r="G18" s="84" t="s">
        <v>12916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13093</v>
      </c>
      <c r="D19" s="84" t="s">
        <v>13094</v>
      </c>
      <c r="E19" s="84" t="s">
        <v>13091</v>
      </c>
      <c r="F19" s="84" t="s">
        <v>35</v>
      </c>
      <c r="G19" s="84" t="s">
        <v>13095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13096</v>
      </c>
      <c r="D20" s="84" t="s">
        <v>13094</v>
      </c>
      <c r="E20" s="84" t="s">
        <v>13097</v>
      </c>
      <c r="F20" s="84" t="s">
        <v>35</v>
      </c>
      <c r="G20" s="84" t="s">
        <v>13098</v>
      </c>
      <c r="H20" s="84" t="s">
        <v>14995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13085</v>
      </c>
      <c r="C21" s="83" t="s">
        <v>13099</v>
      </c>
      <c r="D21" s="84" t="s">
        <v>13094</v>
      </c>
      <c r="E21" s="84" t="s">
        <v>13097</v>
      </c>
      <c r="F21" s="84" t="s">
        <v>35</v>
      </c>
      <c r="G21" s="84" t="s">
        <v>13100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13785</v>
      </c>
      <c r="C22" s="83" t="s">
        <v>14119</v>
      </c>
      <c r="D22" s="84" t="s">
        <v>1513</v>
      </c>
      <c r="E22" s="84" t="s">
        <v>14994</v>
      </c>
      <c r="F22" s="84" t="s">
        <v>35</v>
      </c>
      <c r="G22" s="84" t="s">
        <v>14120</v>
      </c>
      <c r="H22" s="84" t="s">
        <v>14995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13785</v>
      </c>
      <c r="C23" s="83" t="s">
        <v>14141</v>
      </c>
      <c r="D23" s="84" t="s">
        <v>1513</v>
      </c>
      <c r="E23" s="84" t="s">
        <v>14994</v>
      </c>
      <c r="F23" s="84" t="s">
        <v>35</v>
      </c>
      <c r="G23" s="84" t="s">
        <v>14142</v>
      </c>
      <c r="H23" s="84" t="s">
        <v>14995</v>
      </c>
      <c r="I23" s="84"/>
      <c r="J23" s="84"/>
      <c r="K23" s="84"/>
      <c r="L23" s="84"/>
    </row>
    <row r="24" spans="1:12" ht="15" customHeight="1" thickBot="1" x14ac:dyDescent="0.25">
      <c r="A24" s="83" t="s">
        <v>15017</v>
      </c>
      <c r="B24" s="83" t="s">
        <v>14750</v>
      </c>
      <c r="C24" s="83" t="s">
        <v>14759</v>
      </c>
      <c r="D24" s="84" t="s">
        <v>14994</v>
      </c>
      <c r="E24" s="84" t="s">
        <v>14752</v>
      </c>
      <c r="F24" s="84" t="s">
        <v>35</v>
      </c>
      <c r="G24" s="84" t="s">
        <v>14760</v>
      </c>
      <c r="H24" s="84" t="s">
        <v>14993</v>
      </c>
      <c r="I24" s="84"/>
      <c r="J24" s="84"/>
      <c r="K24" s="84"/>
      <c r="L24" s="84"/>
    </row>
    <row r="25" spans="1:12" ht="27" customHeight="1" thickBot="1" x14ac:dyDescent="0.25">
      <c r="A25" s="83" t="s">
        <v>15018</v>
      </c>
      <c r="B25" s="83" t="s">
        <v>8159</v>
      </c>
      <c r="C25" s="83" t="s">
        <v>15015</v>
      </c>
      <c r="D25" s="84" t="s">
        <v>14994</v>
      </c>
      <c r="E25" s="84" t="s">
        <v>6690</v>
      </c>
      <c r="F25" s="84" t="s">
        <v>460</v>
      </c>
      <c r="G25" s="84" t="s">
        <v>8161</v>
      </c>
      <c r="H25" s="84" t="s">
        <v>14993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8865</v>
      </c>
      <c r="C26" s="83" t="s">
        <v>8923</v>
      </c>
      <c r="D26" s="84" t="s">
        <v>8924</v>
      </c>
      <c r="E26" s="84" t="s">
        <v>6675</v>
      </c>
      <c r="F26" s="84" t="s">
        <v>460</v>
      </c>
      <c r="G26" s="84" t="s">
        <v>8923</v>
      </c>
      <c r="H26" s="84" t="s">
        <v>14993</v>
      </c>
      <c r="I26" s="84"/>
      <c r="J26" s="84"/>
      <c r="K26" s="84"/>
      <c r="L26" s="84"/>
    </row>
    <row r="27" spans="1:12" ht="27" customHeight="1" thickBot="1" x14ac:dyDescent="0.25">
      <c r="A27" s="83" t="s">
        <v>15020</v>
      </c>
      <c r="B27" s="83" t="s">
        <v>1711</v>
      </c>
      <c r="C27" s="83" t="s">
        <v>1712</v>
      </c>
      <c r="D27" s="84" t="s">
        <v>1718</v>
      </c>
      <c r="E27" s="84" t="s">
        <v>14994</v>
      </c>
      <c r="F27" s="84" t="s">
        <v>1714</v>
      </c>
      <c r="G27" s="84" t="s">
        <v>1719</v>
      </c>
      <c r="H27" s="84" t="s">
        <v>14993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14211</v>
      </c>
      <c r="C28" s="83" t="s">
        <v>14225</v>
      </c>
      <c r="D28" s="84" t="s">
        <v>14226</v>
      </c>
      <c r="E28" s="84" t="s">
        <v>14219</v>
      </c>
      <c r="F28" s="84" t="s">
        <v>1714</v>
      </c>
      <c r="G28" s="84" t="s">
        <v>14228</v>
      </c>
      <c r="H28" s="84" t="s">
        <v>14993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9436</v>
      </c>
      <c r="C29" s="83" t="s">
        <v>9437</v>
      </c>
      <c r="D29" s="84" t="s">
        <v>14994</v>
      </c>
      <c r="E29" s="84" t="s">
        <v>14994</v>
      </c>
      <c r="F29" s="84" t="s">
        <v>9438</v>
      </c>
      <c r="G29" s="84" t="s">
        <v>14994</v>
      </c>
      <c r="H29" s="84" t="s">
        <v>14993</v>
      </c>
      <c r="I29" s="84"/>
      <c r="J29" s="84"/>
      <c r="K29" s="84"/>
      <c r="L29" s="84"/>
    </row>
    <row r="30" spans="1:12" ht="15" customHeight="1" thickBot="1" x14ac:dyDescent="0.25">
      <c r="A30" s="83" t="s">
        <v>15028</v>
      </c>
      <c r="B30" s="83" t="s">
        <v>1377</v>
      </c>
      <c r="C30" s="83" t="s">
        <v>1378</v>
      </c>
      <c r="D30" s="84" t="s">
        <v>14994</v>
      </c>
      <c r="E30" s="84" t="s">
        <v>14994</v>
      </c>
      <c r="F30" s="84" t="s">
        <v>395</v>
      </c>
      <c r="G30" s="84" t="s">
        <v>15022</v>
      </c>
      <c r="H30" s="84" t="s">
        <v>15068</v>
      </c>
      <c r="I30" s="84"/>
      <c r="J30" s="84"/>
      <c r="K30" s="84"/>
      <c r="L30" s="84"/>
    </row>
    <row r="31" spans="1:12" ht="27" customHeight="1" thickBot="1" x14ac:dyDescent="0.25">
      <c r="A31" s="83" t="s">
        <v>15031</v>
      </c>
      <c r="B31" s="83" t="s">
        <v>1381</v>
      </c>
      <c r="C31" s="83" t="s">
        <v>1389</v>
      </c>
      <c r="D31" s="84" t="s">
        <v>14994</v>
      </c>
      <c r="E31" s="84" t="s">
        <v>14994</v>
      </c>
      <c r="F31" s="84" t="s">
        <v>395</v>
      </c>
      <c r="G31" s="84" t="s">
        <v>15026</v>
      </c>
      <c r="H31" s="84" t="s">
        <v>15069</v>
      </c>
      <c r="I31" s="84"/>
      <c r="J31" s="84"/>
      <c r="K31" s="84"/>
      <c r="L31" s="84"/>
    </row>
    <row r="32" spans="1:12" ht="27" customHeight="1" thickBot="1" x14ac:dyDescent="0.25">
      <c r="A32" s="83" t="s">
        <v>15033</v>
      </c>
      <c r="B32" s="83" t="s">
        <v>1396</v>
      </c>
      <c r="C32" s="83" t="s">
        <v>1398</v>
      </c>
      <c r="D32" s="84" t="s">
        <v>14994</v>
      </c>
      <c r="E32" s="84" t="s">
        <v>14994</v>
      </c>
      <c r="F32" s="84" t="s">
        <v>395</v>
      </c>
      <c r="G32" s="84" t="s">
        <v>15029</v>
      </c>
      <c r="H32" s="84" t="s">
        <v>15070</v>
      </c>
      <c r="I32" s="84"/>
      <c r="J32" s="84"/>
      <c r="K32" s="84"/>
      <c r="L32" s="84"/>
    </row>
    <row r="33" spans="1:12" ht="15" customHeight="1" thickBot="1" x14ac:dyDescent="0.25">
      <c r="A33" s="83" t="s">
        <v>15036</v>
      </c>
      <c r="B33" s="83" t="s">
        <v>1402</v>
      </c>
      <c r="C33" s="83" t="s">
        <v>1404</v>
      </c>
      <c r="D33" s="84" t="s">
        <v>14994</v>
      </c>
      <c r="E33" s="84" t="s">
        <v>14994</v>
      </c>
      <c r="F33" s="84" t="s">
        <v>395</v>
      </c>
      <c r="G33" s="84" t="s">
        <v>15032</v>
      </c>
      <c r="H33" s="84" t="s">
        <v>15071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1405</v>
      </c>
      <c r="C34" s="83" t="s">
        <v>1406</v>
      </c>
      <c r="D34" s="84" t="s">
        <v>14994</v>
      </c>
      <c r="E34" s="84" t="s">
        <v>14994</v>
      </c>
      <c r="F34" s="84" t="s">
        <v>395</v>
      </c>
      <c r="G34" s="84" t="s">
        <v>15034</v>
      </c>
      <c r="H34" s="84" t="s">
        <v>15072</v>
      </c>
      <c r="I34" s="84"/>
      <c r="J34" s="84"/>
      <c r="K34" s="84"/>
      <c r="L34" s="84"/>
    </row>
    <row r="35" spans="1:12" ht="27" customHeight="1" thickBot="1" x14ac:dyDescent="0.25">
      <c r="A35" s="83" t="s">
        <v>15040</v>
      </c>
      <c r="B35" s="83" t="s">
        <v>1505</v>
      </c>
      <c r="C35" s="83" t="s">
        <v>1480</v>
      </c>
      <c r="D35" s="84" t="s">
        <v>14994</v>
      </c>
      <c r="E35" s="84" t="s">
        <v>1449</v>
      </c>
      <c r="F35" s="84" t="s">
        <v>395</v>
      </c>
      <c r="G35" s="84" t="s">
        <v>15037</v>
      </c>
      <c r="H35" s="84" t="s">
        <v>15013</v>
      </c>
      <c r="I35" s="84"/>
      <c r="J35" s="84"/>
      <c r="K35" s="84"/>
      <c r="L35" s="84"/>
    </row>
    <row r="36" spans="1:12" ht="15" customHeight="1" thickBot="1" x14ac:dyDescent="0.25">
      <c r="A36" s="83" t="s">
        <v>15042</v>
      </c>
      <c r="B36" s="83" t="s">
        <v>5259</v>
      </c>
      <c r="C36" s="83" t="s">
        <v>5283</v>
      </c>
      <c r="D36" s="84" t="s">
        <v>14994</v>
      </c>
      <c r="E36" s="84" t="s">
        <v>14994</v>
      </c>
      <c r="F36" s="84" t="s">
        <v>395</v>
      </c>
      <c r="G36" s="84" t="s">
        <v>15039</v>
      </c>
      <c r="H36" s="84" t="s">
        <v>15050</v>
      </c>
      <c r="I36" s="84"/>
      <c r="J36" s="84"/>
      <c r="K36" s="84"/>
      <c r="L36" s="84"/>
    </row>
    <row r="37" spans="1:12" ht="27" customHeight="1" thickBot="1" x14ac:dyDescent="0.25">
      <c r="A37" s="83" t="s">
        <v>15044</v>
      </c>
      <c r="B37" s="83" t="s">
        <v>12336</v>
      </c>
      <c r="C37" s="83" t="s">
        <v>12337</v>
      </c>
      <c r="D37" s="84" t="s">
        <v>14994</v>
      </c>
      <c r="E37" s="84" t="s">
        <v>14994</v>
      </c>
      <c r="F37" s="84" t="s">
        <v>395</v>
      </c>
      <c r="G37" s="84" t="s">
        <v>15041</v>
      </c>
      <c r="H37" s="84" t="s">
        <v>15016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12338</v>
      </c>
      <c r="C38" s="83" t="s">
        <v>12339</v>
      </c>
      <c r="D38" s="84" t="s">
        <v>14994</v>
      </c>
      <c r="E38" s="84" t="s">
        <v>14994</v>
      </c>
      <c r="F38" s="84" t="s">
        <v>395</v>
      </c>
      <c r="G38" s="84" t="s">
        <v>15043</v>
      </c>
      <c r="H38" s="84" t="s">
        <v>15073</v>
      </c>
      <c r="I38" s="84"/>
      <c r="J38" s="84"/>
      <c r="K38" s="84"/>
      <c r="L38" s="84"/>
    </row>
    <row r="39" spans="1:12" ht="15" customHeight="1" thickBot="1" x14ac:dyDescent="0.25">
      <c r="A39" s="83" t="s">
        <v>15023</v>
      </c>
      <c r="B39" s="83" t="s">
        <v>13421</v>
      </c>
      <c r="C39" s="83" t="s">
        <v>3105</v>
      </c>
      <c r="D39" s="84" t="s">
        <v>14994</v>
      </c>
      <c r="E39" s="84" t="s">
        <v>14994</v>
      </c>
      <c r="F39" s="84" t="s">
        <v>395</v>
      </c>
      <c r="G39" s="84" t="s">
        <v>15045</v>
      </c>
      <c r="H39" s="84" t="s">
        <v>14993</v>
      </c>
      <c r="I39" s="84"/>
      <c r="J39" s="84"/>
      <c r="K39" s="84"/>
      <c r="L39" s="84"/>
    </row>
    <row r="40" spans="1:12" ht="15" customHeight="1" thickBot="1" x14ac:dyDescent="0.25">
      <c r="A40" s="83" t="s">
        <v>15048</v>
      </c>
      <c r="B40" s="83" t="s">
        <v>13422</v>
      </c>
      <c r="C40" s="83" t="s">
        <v>3117</v>
      </c>
      <c r="D40" s="84" t="s">
        <v>14994</v>
      </c>
      <c r="E40" s="84" t="s">
        <v>14994</v>
      </c>
      <c r="F40" s="84" t="s">
        <v>395</v>
      </c>
      <c r="G40" s="84" t="s">
        <v>15047</v>
      </c>
      <c r="H40" s="84" t="s">
        <v>14993</v>
      </c>
      <c r="I40" s="84"/>
      <c r="J40" s="84"/>
      <c r="K40" s="84"/>
      <c r="L40" s="84"/>
    </row>
    <row r="41" spans="1:12" ht="27" customHeight="1" x14ac:dyDescent="0.2">
      <c r="A41" s="85" t="s">
        <v>15049</v>
      </c>
      <c r="B41" s="85" t="s">
        <v>14316</v>
      </c>
      <c r="C41" s="85" t="s">
        <v>14317</v>
      </c>
      <c r="D41" s="86" t="s">
        <v>14994</v>
      </c>
      <c r="E41" s="86" t="s">
        <v>14994</v>
      </c>
      <c r="F41" s="86" t="s">
        <v>395</v>
      </c>
      <c r="G41" s="86" t="s">
        <v>15039</v>
      </c>
      <c r="H41" s="86" t="s">
        <v>15050</v>
      </c>
      <c r="I41" s="86"/>
      <c r="J41" s="86"/>
      <c r="K41" s="86"/>
      <c r="L41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M.G.P.
Approved / D.FAGIOLI&amp;R&amp;11&amp;F
Date: &amp;D &amp; =IF(0 &lt;&gt;""; Rev. ind.: 0; "")
Sheet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28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14996</v>
      </c>
      <c r="I6" s="84"/>
      <c r="J6" s="84"/>
      <c r="K6" s="84"/>
      <c r="L6" s="84"/>
    </row>
    <row r="7" spans="1:32" ht="27" customHeight="1" thickBot="1" x14ac:dyDescent="0.25">
      <c r="A7" s="83" t="s">
        <v>14998</v>
      </c>
      <c r="B7" s="83" t="s">
        <v>8828</v>
      </c>
      <c r="C7" s="83" t="s">
        <v>8838</v>
      </c>
      <c r="D7" s="84" t="s">
        <v>8839</v>
      </c>
      <c r="E7" s="84" t="s">
        <v>8840</v>
      </c>
      <c r="F7" s="84" t="s">
        <v>35</v>
      </c>
      <c r="G7" s="84" t="s">
        <v>8841</v>
      </c>
      <c r="H7" s="84" t="s">
        <v>14996</v>
      </c>
      <c r="I7" s="84"/>
      <c r="J7" s="84"/>
      <c r="K7" s="84"/>
      <c r="L7" s="84"/>
    </row>
    <row r="8" spans="1:32" ht="27" customHeight="1" thickBot="1" x14ac:dyDescent="0.25">
      <c r="A8" s="83" t="s">
        <v>15000</v>
      </c>
      <c r="B8" s="83" t="s">
        <v>9440</v>
      </c>
      <c r="C8" s="83" t="s">
        <v>15005</v>
      </c>
      <c r="D8" s="84" t="s">
        <v>1508</v>
      </c>
      <c r="E8" s="84" t="s">
        <v>9598</v>
      </c>
      <c r="F8" s="84" t="s">
        <v>35</v>
      </c>
      <c r="G8" s="84" t="s">
        <v>9663</v>
      </c>
      <c r="H8" s="84" t="s">
        <v>14993</v>
      </c>
      <c r="I8" s="84"/>
      <c r="J8" s="84"/>
      <c r="K8" s="84"/>
      <c r="L8" s="84"/>
    </row>
    <row r="9" spans="1:32" ht="27" customHeight="1" thickBot="1" x14ac:dyDescent="0.25">
      <c r="A9" s="83" t="s">
        <v>15001</v>
      </c>
      <c r="B9" s="83" t="s">
        <v>10469</v>
      </c>
      <c r="C9" s="83" t="s">
        <v>10532</v>
      </c>
      <c r="D9" s="84" t="s">
        <v>14994</v>
      </c>
      <c r="E9" s="84" t="s">
        <v>14994</v>
      </c>
      <c r="F9" s="84" t="s">
        <v>35</v>
      </c>
      <c r="G9" s="84" t="s">
        <v>10533</v>
      </c>
      <c r="H9" s="84" t="s">
        <v>14996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10703</v>
      </c>
      <c r="C10" s="83" t="s">
        <v>10739</v>
      </c>
      <c r="D10" s="84" t="s">
        <v>8153</v>
      </c>
      <c r="E10" s="84" t="s">
        <v>10412</v>
      </c>
      <c r="F10" s="84" t="s">
        <v>35</v>
      </c>
      <c r="G10" s="84" t="s">
        <v>10740</v>
      </c>
      <c r="H10" s="84" t="s">
        <v>14993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10910</v>
      </c>
      <c r="C11" s="83" t="s">
        <v>10919</v>
      </c>
      <c r="D11" s="84" t="s">
        <v>10912</v>
      </c>
      <c r="E11" s="84" t="s">
        <v>3190</v>
      </c>
      <c r="F11" s="84" t="s">
        <v>35</v>
      </c>
      <c r="G11" s="84" t="s">
        <v>10920</v>
      </c>
      <c r="H11" s="84" t="s">
        <v>15003</v>
      </c>
      <c r="I11" s="84"/>
      <c r="J11" s="84"/>
      <c r="K11" s="84"/>
      <c r="L11" s="84"/>
    </row>
    <row r="12" spans="1:32" ht="15" customHeight="1" thickBot="1" x14ac:dyDescent="0.25">
      <c r="A12" s="83" t="s">
        <v>15004</v>
      </c>
      <c r="B12" s="83" t="s">
        <v>12624</v>
      </c>
      <c r="C12" s="83" t="s">
        <v>12973</v>
      </c>
      <c r="D12" s="84" t="s">
        <v>552</v>
      </c>
      <c r="E12" s="84" t="s">
        <v>14994</v>
      </c>
      <c r="F12" s="84" t="s">
        <v>35</v>
      </c>
      <c r="G12" s="84" t="s">
        <v>12977</v>
      </c>
      <c r="H12" s="84" t="s">
        <v>14996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13085</v>
      </c>
      <c r="C13" s="83" t="s">
        <v>13093</v>
      </c>
      <c r="D13" s="84" t="s">
        <v>13094</v>
      </c>
      <c r="E13" s="84" t="s">
        <v>13091</v>
      </c>
      <c r="F13" s="84" t="s">
        <v>35</v>
      </c>
      <c r="G13" s="84" t="s">
        <v>13095</v>
      </c>
      <c r="H13" s="84" t="s">
        <v>14996</v>
      </c>
      <c r="I13" s="84"/>
      <c r="J13" s="84"/>
      <c r="K13" s="84"/>
      <c r="L13" s="84"/>
    </row>
    <row r="14" spans="1:32" ht="27" customHeight="1" thickBot="1" x14ac:dyDescent="0.25">
      <c r="A14" s="83" t="s">
        <v>15007</v>
      </c>
      <c r="B14" s="83" t="s">
        <v>13085</v>
      </c>
      <c r="C14" s="83" t="s">
        <v>13099</v>
      </c>
      <c r="D14" s="84" t="s">
        <v>13094</v>
      </c>
      <c r="E14" s="84" t="s">
        <v>13097</v>
      </c>
      <c r="F14" s="84" t="s">
        <v>35</v>
      </c>
      <c r="G14" s="84" t="s">
        <v>13100</v>
      </c>
      <c r="H14" s="84" t="s">
        <v>14996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13785</v>
      </c>
      <c r="C15" s="83" t="s">
        <v>14087</v>
      </c>
      <c r="D15" s="84" t="s">
        <v>1513</v>
      </c>
      <c r="E15" s="84" t="s">
        <v>14994</v>
      </c>
      <c r="F15" s="84" t="s">
        <v>35</v>
      </c>
      <c r="G15" s="84" t="s">
        <v>14088</v>
      </c>
      <c r="H15" s="84" t="s">
        <v>15004</v>
      </c>
      <c r="I15" s="84"/>
      <c r="J15" s="84"/>
      <c r="K15" s="84"/>
      <c r="L15" s="84"/>
    </row>
    <row r="16" spans="1:32" ht="27" customHeight="1" thickBot="1" x14ac:dyDescent="0.25">
      <c r="A16" s="83" t="s">
        <v>15009</v>
      </c>
      <c r="B16" s="83" t="s">
        <v>8159</v>
      </c>
      <c r="C16" s="83" t="s">
        <v>15015</v>
      </c>
      <c r="D16" s="84" t="s">
        <v>14994</v>
      </c>
      <c r="E16" s="84" t="s">
        <v>6690</v>
      </c>
      <c r="F16" s="84" t="s">
        <v>460</v>
      </c>
      <c r="G16" s="84" t="s">
        <v>8161</v>
      </c>
      <c r="H16" s="84" t="s">
        <v>14993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8865</v>
      </c>
      <c r="C17" s="83" t="s">
        <v>8923</v>
      </c>
      <c r="D17" s="84" t="s">
        <v>8924</v>
      </c>
      <c r="E17" s="84" t="s">
        <v>6675</v>
      </c>
      <c r="F17" s="84" t="s">
        <v>460</v>
      </c>
      <c r="G17" s="84" t="s">
        <v>8923</v>
      </c>
      <c r="H17" s="84" t="s">
        <v>14993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1711</v>
      </c>
      <c r="C18" s="83" t="s">
        <v>1712</v>
      </c>
      <c r="D18" s="84" t="s">
        <v>1718</v>
      </c>
      <c r="E18" s="84" t="s">
        <v>14994</v>
      </c>
      <c r="F18" s="84" t="s">
        <v>1714</v>
      </c>
      <c r="G18" s="84" t="s">
        <v>1719</v>
      </c>
      <c r="H18" s="84" t="s">
        <v>14993</v>
      </c>
      <c r="I18" s="84"/>
      <c r="J18" s="84"/>
      <c r="K18" s="84"/>
      <c r="L18" s="84"/>
    </row>
    <row r="19" spans="1:12" ht="15" customHeight="1" thickBot="1" x14ac:dyDescent="0.25">
      <c r="A19" s="83" t="s">
        <v>15011</v>
      </c>
      <c r="B19" s="83" t="s">
        <v>14211</v>
      </c>
      <c r="C19" s="83" t="s">
        <v>14225</v>
      </c>
      <c r="D19" s="84" t="s">
        <v>14226</v>
      </c>
      <c r="E19" s="84" t="s">
        <v>14219</v>
      </c>
      <c r="F19" s="84" t="s">
        <v>1714</v>
      </c>
      <c r="G19" s="84" t="s">
        <v>14228</v>
      </c>
      <c r="H19" s="84" t="s">
        <v>14993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9436</v>
      </c>
      <c r="C20" s="83" t="s">
        <v>9437</v>
      </c>
      <c r="D20" s="84" t="s">
        <v>14994</v>
      </c>
      <c r="E20" s="84" t="s">
        <v>14994</v>
      </c>
      <c r="F20" s="84" t="s">
        <v>9438</v>
      </c>
      <c r="G20" s="84" t="s">
        <v>14994</v>
      </c>
      <c r="H20" s="84" t="s">
        <v>14993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15025</v>
      </c>
      <c r="C21" s="83" t="s">
        <v>1389</v>
      </c>
      <c r="D21" s="84" t="s">
        <v>14994</v>
      </c>
      <c r="E21" s="84" t="s">
        <v>14994</v>
      </c>
      <c r="F21" s="84" t="s">
        <v>395</v>
      </c>
      <c r="G21" s="84" t="s">
        <v>15026</v>
      </c>
      <c r="H21" s="84" t="s">
        <v>15074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1396</v>
      </c>
      <c r="C22" s="83" t="s">
        <v>1398</v>
      </c>
      <c r="D22" s="84" t="s">
        <v>14994</v>
      </c>
      <c r="E22" s="84" t="s">
        <v>14994</v>
      </c>
      <c r="F22" s="84" t="s">
        <v>395</v>
      </c>
      <c r="G22" s="84" t="s">
        <v>15029</v>
      </c>
      <c r="H22" s="84" t="s">
        <v>15075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1405</v>
      </c>
      <c r="C23" s="83" t="s">
        <v>1406</v>
      </c>
      <c r="D23" s="84" t="s">
        <v>14994</v>
      </c>
      <c r="E23" s="84" t="s">
        <v>14994</v>
      </c>
      <c r="F23" s="84" t="s">
        <v>395</v>
      </c>
      <c r="G23" s="84" t="s">
        <v>15034</v>
      </c>
      <c r="H23" s="84" t="s">
        <v>15076</v>
      </c>
      <c r="I23" s="84"/>
      <c r="J23" s="84"/>
      <c r="K23" s="84"/>
      <c r="L23" s="84"/>
    </row>
    <row r="24" spans="1:12" ht="15" customHeight="1" thickBot="1" x14ac:dyDescent="0.25">
      <c r="A24" s="83" t="s">
        <v>15017</v>
      </c>
      <c r="B24" s="83" t="s">
        <v>5259</v>
      </c>
      <c r="C24" s="83" t="s">
        <v>5283</v>
      </c>
      <c r="D24" s="84" t="s">
        <v>14994</v>
      </c>
      <c r="E24" s="84" t="s">
        <v>14994</v>
      </c>
      <c r="F24" s="84" t="s">
        <v>395</v>
      </c>
      <c r="G24" s="84" t="s">
        <v>15039</v>
      </c>
      <c r="H24" s="84" t="s">
        <v>15042</v>
      </c>
      <c r="I24" s="84"/>
      <c r="J24" s="84"/>
      <c r="K24" s="84"/>
      <c r="L24" s="84"/>
    </row>
    <row r="25" spans="1:12" ht="27" customHeight="1" thickBot="1" x14ac:dyDescent="0.25">
      <c r="A25" s="83" t="s">
        <v>15018</v>
      </c>
      <c r="B25" s="83" t="s">
        <v>12336</v>
      </c>
      <c r="C25" s="83" t="s">
        <v>12337</v>
      </c>
      <c r="D25" s="84" t="s">
        <v>14994</v>
      </c>
      <c r="E25" s="84" t="s">
        <v>14994</v>
      </c>
      <c r="F25" s="84" t="s">
        <v>395</v>
      </c>
      <c r="G25" s="84" t="s">
        <v>15041</v>
      </c>
      <c r="H25" s="84" t="s">
        <v>15017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12338</v>
      </c>
      <c r="C26" s="83" t="s">
        <v>12339</v>
      </c>
      <c r="D26" s="84" t="s">
        <v>14994</v>
      </c>
      <c r="E26" s="84" t="s">
        <v>14994</v>
      </c>
      <c r="F26" s="84" t="s">
        <v>395</v>
      </c>
      <c r="G26" s="84" t="s">
        <v>15043</v>
      </c>
      <c r="H26" s="84" t="s">
        <v>15069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13422</v>
      </c>
      <c r="C27" s="83" t="s">
        <v>3117</v>
      </c>
      <c r="D27" s="84" t="s">
        <v>14994</v>
      </c>
      <c r="E27" s="84" t="s">
        <v>14994</v>
      </c>
      <c r="F27" s="84" t="s">
        <v>395</v>
      </c>
      <c r="G27" s="84" t="s">
        <v>15047</v>
      </c>
      <c r="H27" s="84" t="s">
        <v>14993</v>
      </c>
      <c r="I27" s="84"/>
      <c r="J27" s="84"/>
      <c r="K27" s="84"/>
      <c r="L27" s="84"/>
    </row>
    <row r="28" spans="1:12" ht="27" customHeight="1" x14ac:dyDescent="0.2">
      <c r="A28" s="85" t="s">
        <v>15021</v>
      </c>
      <c r="B28" s="85" t="s">
        <v>14316</v>
      </c>
      <c r="C28" s="85" t="s">
        <v>14317</v>
      </c>
      <c r="D28" s="86" t="s">
        <v>14994</v>
      </c>
      <c r="E28" s="86" t="s">
        <v>14994</v>
      </c>
      <c r="F28" s="86" t="s">
        <v>395</v>
      </c>
      <c r="G28" s="86" t="s">
        <v>15039</v>
      </c>
      <c r="H28" s="86" t="s">
        <v>15042</v>
      </c>
      <c r="I28" s="86"/>
      <c r="J28" s="86"/>
      <c r="K28" s="86"/>
      <c r="L28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28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14996</v>
      </c>
      <c r="I6" s="84"/>
      <c r="J6" s="84"/>
      <c r="K6" s="84"/>
      <c r="L6" s="84"/>
    </row>
    <row r="7" spans="1:32" ht="27" customHeight="1" thickBot="1" x14ac:dyDescent="0.25">
      <c r="A7" s="83" t="s">
        <v>14998</v>
      </c>
      <c r="B7" s="83" t="s">
        <v>8828</v>
      </c>
      <c r="C7" s="83" t="s">
        <v>8838</v>
      </c>
      <c r="D7" s="84" t="s">
        <v>8839</v>
      </c>
      <c r="E7" s="84" t="s">
        <v>8840</v>
      </c>
      <c r="F7" s="84" t="s">
        <v>35</v>
      </c>
      <c r="G7" s="84" t="s">
        <v>8841</v>
      </c>
      <c r="H7" s="84" t="s">
        <v>14996</v>
      </c>
      <c r="I7" s="84"/>
      <c r="J7" s="84"/>
      <c r="K7" s="84"/>
      <c r="L7" s="84"/>
    </row>
    <row r="8" spans="1:32" ht="27" customHeight="1" thickBot="1" x14ac:dyDescent="0.25">
      <c r="A8" s="83" t="s">
        <v>15000</v>
      </c>
      <c r="B8" s="83" t="s">
        <v>9440</v>
      </c>
      <c r="C8" s="83" t="s">
        <v>15005</v>
      </c>
      <c r="D8" s="84" t="s">
        <v>1508</v>
      </c>
      <c r="E8" s="84" t="s">
        <v>9598</v>
      </c>
      <c r="F8" s="84" t="s">
        <v>35</v>
      </c>
      <c r="G8" s="84" t="s">
        <v>9663</v>
      </c>
      <c r="H8" s="84" t="s">
        <v>14993</v>
      </c>
      <c r="I8" s="84"/>
      <c r="J8" s="84"/>
      <c r="K8" s="84"/>
      <c r="L8" s="84"/>
    </row>
    <row r="9" spans="1:32" ht="27" customHeight="1" thickBot="1" x14ac:dyDescent="0.25">
      <c r="A9" s="83" t="s">
        <v>15001</v>
      </c>
      <c r="B9" s="83" t="s">
        <v>10469</v>
      </c>
      <c r="C9" s="83" t="s">
        <v>10532</v>
      </c>
      <c r="D9" s="84" t="s">
        <v>14994</v>
      </c>
      <c r="E9" s="84" t="s">
        <v>14994</v>
      </c>
      <c r="F9" s="84" t="s">
        <v>35</v>
      </c>
      <c r="G9" s="84" t="s">
        <v>10533</v>
      </c>
      <c r="H9" s="84" t="s">
        <v>14996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10703</v>
      </c>
      <c r="C10" s="83" t="s">
        <v>10739</v>
      </c>
      <c r="D10" s="84" t="s">
        <v>8153</v>
      </c>
      <c r="E10" s="84" t="s">
        <v>10412</v>
      </c>
      <c r="F10" s="84" t="s">
        <v>35</v>
      </c>
      <c r="G10" s="84" t="s">
        <v>10740</v>
      </c>
      <c r="H10" s="84" t="s">
        <v>14993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10910</v>
      </c>
      <c r="C11" s="83" t="s">
        <v>10919</v>
      </c>
      <c r="D11" s="84" t="s">
        <v>10912</v>
      </c>
      <c r="E11" s="84" t="s">
        <v>3190</v>
      </c>
      <c r="F11" s="84" t="s">
        <v>35</v>
      </c>
      <c r="G11" s="84" t="s">
        <v>10920</v>
      </c>
      <c r="H11" s="84" t="s">
        <v>15003</v>
      </c>
      <c r="I11" s="84"/>
      <c r="J11" s="84"/>
      <c r="K11" s="84"/>
      <c r="L11" s="84"/>
    </row>
    <row r="12" spans="1:32" ht="15" customHeight="1" thickBot="1" x14ac:dyDescent="0.25">
      <c r="A12" s="83" t="s">
        <v>15004</v>
      </c>
      <c r="B12" s="83" t="s">
        <v>12624</v>
      </c>
      <c r="C12" s="83" t="s">
        <v>12973</v>
      </c>
      <c r="D12" s="84" t="s">
        <v>552</v>
      </c>
      <c r="E12" s="84" t="s">
        <v>14994</v>
      </c>
      <c r="F12" s="84" t="s">
        <v>35</v>
      </c>
      <c r="G12" s="84" t="s">
        <v>12977</v>
      </c>
      <c r="H12" s="84" t="s">
        <v>14996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13085</v>
      </c>
      <c r="C13" s="83" t="s">
        <v>13093</v>
      </c>
      <c r="D13" s="84" t="s">
        <v>13094</v>
      </c>
      <c r="E13" s="84" t="s">
        <v>13091</v>
      </c>
      <c r="F13" s="84" t="s">
        <v>35</v>
      </c>
      <c r="G13" s="84" t="s">
        <v>13095</v>
      </c>
      <c r="H13" s="84" t="s">
        <v>14996</v>
      </c>
      <c r="I13" s="84"/>
      <c r="J13" s="84"/>
      <c r="K13" s="84"/>
      <c r="L13" s="84"/>
    </row>
    <row r="14" spans="1:32" ht="27" customHeight="1" thickBot="1" x14ac:dyDescent="0.25">
      <c r="A14" s="83" t="s">
        <v>15007</v>
      </c>
      <c r="B14" s="83" t="s">
        <v>13085</v>
      </c>
      <c r="C14" s="83" t="s">
        <v>13099</v>
      </c>
      <c r="D14" s="84" t="s">
        <v>13094</v>
      </c>
      <c r="E14" s="84" t="s">
        <v>13097</v>
      </c>
      <c r="F14" s="84" t="s">
        <v>35</v>
      </c>
      <c r="G14" s="84" t="s">
        <v>13100</v>
      </c>
      <c r="H14" s="84" t="s">
        <v>14996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13785</v>
      </c>
      <c r="C15" s="83" t="s">
        <v>14087</v>
      </c>
      <c r="D15" s="84" t="s">
        <v>1513</v>
      </c>
      <c r="E15" s="84" t="s">
        <v>14994</v>
      </c>
      <c r="F15" s="84" t="s">
        <v>35</v>
      </c>
      <c r="G15" s="84" t="s">
        <v>14088</v>
      </c>
      <c r="H15" s="84" t="s">
        <v>15004</v>
      </c>
      <c r="I15" s="84"/>
      <c r="J15" s="84"/>
      <c r="K15" s="84"/>
      <c r="L15" s="84"/>
    </row>
    <row r="16" spans="1:32" ht="27" customHeight="1" thickBot="1" x14ac:dyDescent="0.25">
      <c r="A16" s="83" t="s">
        <v>15009</v>
      </c>
      <c r="B16" s="83" t="s">
        <v>8159</v>
      </c>
      <c r="C16" s="83" t="s">
        <v>15015</v>
      </c>
      <c r="D16" s="84" t="s">
        <v>14994</v>
      </c>
      <c r="E16" s="84" t="s">
        <v>6690</v>
      </c>
      <c r="F16" s="84" t="s">
        <v>460</v>
      </c>
      <c r="G16" s="84" t="s">
        <v>8161</v>
      </c>
      <c r="H16" s="84" t="s">
        <v>14993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8865</v>
      </c>
      <c r="C17" s="83" t="s">
        <v>8923</v>
      </c>
      <c r="D17" s="84" t="s">
        <v>8924</v>
      </c>
      <c r="E17" s="84" t="s">
        <v>6675</v>
      </c>
      <c r="F17" s="84" t="s">
        <v>460</v>
      </c>
      <c r="G17" s="84" t="s">
        <v>8923</v>
      </c>
      <c r="H17" s="84" t="s">
        <v>14993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1711</v>
      </c>
      <c r="C18" s="83" t="s">
        <v>1712</v>
      </c>
      <c r="D18" s="84" t="s">
        <v>1718</v>
      </c>
      <c r="E18" s="84" t="s">
        <v>14994</v>
      </c>
      <c r="F18" s="84" t="s">
        <v>1714</v>
      </c>
      <c r="G18" s="84" t="s">
        <v>1719</v>
      </c>
      <c r="H18" s="84" t="s">
        <v>14993</v>
      </c>
      <c r="I18" s="84"/>
      <c r="J18" s="84"/>
      <c r="K18" s="84"/>
      <c r="L18" s="84"/>
    </row>
    <row r="19" spans="1:12" ht="15" customHeight="1" thickBot="1" x14ac:dyDescent="0.25">
      <c r="A19" s="83" t="s">
        <v>15011</v>
      </c>
      <c r="B19" s="83" t="s">
        <v>14211</v>
      </c>
      <c r="C19" s="83" t="s">
        <v>14225</v>
      </c>
      <c r="D19" s="84" t="s">
        <v>14226</v>
      </c>
      <c r="E19" s="84" t="s">
        <v>14219</v>
      </c>
      <c r="F19" s="84" t="s">
        <v>1714</v>
      </c>
      <c r="G19" s="84" t="s">
        <v>14228</v>
      </c>
      <c r="H19" s="84" t="s">
        <v>14993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9436</v>
      </c>
      <c r="C20" s="83" t="s">
        <v>9437</v>
      </c>
      <c r="D20" s="84" t="s">
        <v>14994</v>
      </c>
      <c r="E20" s="84" t="s">
        <v>14994</v>
      </c>
      <c r="F20" s="84" t="s">
        <v>9438</v>
      </c>
      <c r="G20" s="84" t="s">
        <v>14994</v>
      </c>
      <c r="H20" s="84" t="s">
        <v>14993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15025</v>
      </c>
      <c r="C21" s="83" t="s">
        <v>1389</v>
      </c>
      <c r="D21" s="84" t="s">
        <v>14994</v>
      </c>
      <c r="E21" s="84" t="s">
        <v>14994</v>
      </c>
      <c r="F21" s="84" t="s">
        <v>395</v>
      </c>
      <c r="G21" s="84" t="s">
        <v>15026</v>
      </c>
      <c r="H21" s="84" t="s">
        <v>15077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1396</v>
      </c>
      <c r="C22" s="83" t="s">
        <v>1398</v>
      </c>
      <c r="D22" s="84" t="s">
        <v>14994</v>
      </c>
      <c r="E22" s="84" t="s">
        <v>14994</v>
      </c>
      <c r="F22" s="84" t="s">
        <v>395</v>
      </c>
      <c r="G22" s="84" t="s">
        <v>15029</v>
      </c>
      <c r="H22" s="84" t="s">
        <v>15075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1405</v>
      </c>
      <c r="C23" s="83" t="s">
        <v>1406</v>
      </c>
      <c r="D23" s="84" t="s">
        <v>14994</v>
      </c>
      <c r="E23" s="84" t="s">
        <v>14994</v>
      </c>
      <c r="F23" s="84" t="s">
        <v>395</v>
      </c>
      <c r="G23" s="84" t="s">
        <v>15034</v>
      </c>
      <c r="H23" s="84" t="s">
        <v>15078</v>
      </c>
      <c r="I23" s="84"/>
      <c r="J23" s="84"/>
      <c r="K23" s="84"/>
      <c r="L23" s="84"/>
    </row>
    <row r="24" spans="1:12" ht="15" customHeight="1" thickBot="1" x14ac:dyDescent="0.25">
      <c r="A24" s="83" t="s">
        <v>15017</v>
      </c>
      <c r="B24" s="83" t="s">
        <v>5259</v>
      </c>
      <c r="C24" s="83" t="s">
        <v>5283</v>
      </c>
      <c r="D24" s="84" t="s">
        <v>14994</v>
      </c>
      <c r="E24" s="84" t="s">
        <v>14994</v>
      </c>
      <c r="F24" s="84" t="s">
        <v>395</v>
      </c>
      <c r="G24" s="84" t="s">
        <v>15039</v>
      </c>
      <c r="H24" s="84" t="s">
        <v>15042</v>
      </c>
      <c r="I24" s="84"/>
      <c r="J24" s="84"/>
      <c r="K24" s="84"/>
      <c r="L24" s="84"/>
    </row>
    <row r="25" spans="1:12" ht="27" customHeight="1" thickBot="1" x14ac:dyDescent="0.25">
      <c r="A25" s="83" t="s">
        <v>15018</v>
      </c>
      <c r="B25" s="83" t="s">
        <v>12336</v>
      </c>
      <c r="C25" s="83" t="s">
        <v>12337</v>
      </c>
      <c r="D25" s="84" t="s">
        <v>14994</v>
      </c>
      <c r="E25" s="84" t="s">
        <v>14994</v>
      </c>
      <c r="F25" s="84" t="s">
        <v>395</v>
      </c>
      <c r="G25" s="84" t="s">
        <v>15041</v>
      </c>
      <c r="H25" s="84" t="s">
        <v>15031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12338</v>
      </c>
      <c r="C26" s="83" t="s">
        <v>12339</v>
      </c>
      <c r="D26" s="84" t="s">
        <v>14994</v>
      </c>
      <c r="E26" s="84" t="s">
        <v>14994</v>
      </c>
      <c r="F26" s="84" t="s">
        <v>395</v>
      </c>
      <c r="G26" s="84" t="s">
        <v>15043</v>
      </c>
      <c r="H26" s="84" t="s">
        <v>15069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13422</v>
      </c>
      <c r="C27" s="83" t="s">
        <v>3117</v>
      </c>
      <c r="D27" s="84" t="s">
        <v>14994</v>
      </c>
      <c r="E27" s="84" t="s">
        <v>14994</v>
      </c>
      <c r="F27" s="84" t="s">
        <v>395</v>
      </c>
      <c r="G27" s="84" t="s">
        <v>15047</v>
      </c>
      <c r="H27" s="84" t="s">
        <v>14993</v>
      </c>
      <c r="I27" s="84"/>
      <c r="J27" s="84"/>
      <c r="K27" s="84"/>
      <c r="L27" s="84"/>
    </row>
    <row r="28" spans="1:12" ht="27" customHeight="1" x14ac:dyDescent="0.2">
      <c r="A28" s="85" t="s">
        <v>15021</v>
      </c>
      <c r="B28" s="85" t="s">
        <v>14316</v>
      </c>
      <c r="C28" s="85" t="s">
        <v>14317</v>
      </c>
      <c r="D28" s="86" t="s">
        <v>14994</v>
      </c>
      <c r="E28" s="86" t="s">
        <v>14994</v>
      </c>
      <c r="F28" s="86" t="s">
        <v>395</v>
      </c>
      <c r="G28" s="86" t="s">
        <v>15039</v>
      </c>
      <c r="H28" s="86" t="s">
        <v>15042</v>
      </c>
      <c r="I28" s="86"/>
      <c r="J28" s="86"/>
      <c r="K28" s="86"/>
      <c r="L28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F29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15054</v>
      </c>
      <c r="C4" s="83" t="s">
        <v>15055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14995</v>
      </c>
      <c r="I4" s="84"/>
      <c r="J4" s="84"/>
      <c r="K4" s="84"/>
      <c r="L4" s="84"/>
    </row>
    <row r="5" spans="1:32" ht="15" customHeight="1" thickBot="1" x14ac:dyDescent="0.25">
      <c r="A5" s="83" t="s">
        <v>14995</v>
      </c>
      <c r="B5" s="83" t="s">
        <v>10872</v>
      </c>
      <c r="C5" s="83" t="s">
        <v>10873</v>
      </c>
      <c r="D5" s="84" t="s">
        <v>14994</v>
      </c>
      <c r="E5" s="84" t="s">
        <v>14994</v>
      </c>
      <c r="F5" s="84" t="s">
        <v>14994</v>
      </c>
      <c r="G5" s="84" t="s">
        <v>14994</v>
      </c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 t="s">
        <v>14996</v>
      </c>
      <c r="B6" s="83" t="s">
        <v>520</v>
      </c>
      <c r="C6" s="83" t="s">
        <v>644</v>
      </c>
      <c r="D6" s="84" t="s">
        <v>645</v>
      </c>
      <c r="E6" s="84" t="s">
        <v>646</v>
      </c>
      <c r="F6" s="84" t="s">
        <v>35</v>
      </c>
      <c r="G6" s="84" t="s">
        <v>647</v>
      </c>
      <c r="H6" s="84" t="s">
        <v>14993</v>
      </c>
      <c r="I6" s="84"/>
      <c r="J6" s="84"/>
      <c r="K6" s="84"/>
      <c r="L6" s="84"/>
    </row>
    <row r="7" spans="1:32" ht="27" customHeight="1" thickBot="1" x14ac:dyDescent="0.25">
      <c r="A7" s="83" t="s">
        <v>14998</v>
      </c>
      <c r="B7" s="83" t="s">
        <v>8828</v>
      </c>
      <c r="C7" s="83" t="s">
        <v>8838</v>
      </c>
      <c r="D7" s="84" t="s">
        <v>8839</v>
      </c>
      <c r="E7" s="84" t="s">
        <v>8840</v>
      </c>
      <c r="F7" s="84" t="s">
        <v>35</v>
      </c>
      <c r="G7" s="84" t="s">
        <v>8841</v>
      </c>
      <c r="H7" s="84" t="s">
        <v>14993</v>
      </c>
      <c r="I7" s="84"/>
      <c r="J7" s="84"/>
      <c r="K7" s="84"/>
      <c r="L7" s="84"/>
    </row>
    <row r="8" spans="1:32" ht="27" customHeight="1" thickBot="1" x14ac:dyDescent="0.25">
      <c r="A8" s="83" t="s">
        <v>15000</v>
      </c>
      <c r="B8" s="83" t="s">
        <v>9440</v>
      </c>
      <c r="C8" s="83" t="s">
        <v>15005</v>
      </c>
      <c r="D8" s="84" t="s">
        <v>1508</v>
      </c>
      <c r="E8" s="84" t="s">
        <v>9598</v>
      </c>
      <c r="F8" s="84" t="s">
        <v>35</v>
      </c>
      <c r="G8" s="84" t="s">
        <v>9663</v>
      </c>
      <c r="H8" s="84" t="s">
        <v>14993</v>
      </c>
      <c r="I8" s="84"/>
      <c r="J8" s="84"/>
      <c r="K8" s="84"/>
      <c r="L8" s="84"/>
    </row>
    <row r="9" spans="1:32" ht="27" customHeight="1" thickBot="1" x14ac:dyDescent="0.25">
      <c r="A9" s="83" t="s">
        <v>15001</v>
      </c>
      <c r="B9" s="83" t="s">
        <v>10469</v>
      </c>
      <c r="C9" s="83" t="s">
        <v>10532</v>
      </c>
      <c r="D9" s="84" t="s">
        <v>14994</v>
      </c>
      <c r="E9" s="84" t="s">
        <v>14994</v>
      </c>
      <c r="F9" s="84" t="s">
        <v>35</v>
      </c>
      <c r="G9" s="84" t="s">
        <v>10533</v>
      </c>
      <c r="H9" s="84" t="s">
        <v>14993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10703</v>
      </c>
      <c r="C10" s="83" t="s">
        <v>10739</v>
      </c>
      <c r="D10" s="84" t="s">
        <v>8153</v>
      </c>
      <c r="E10" s="84" t="s">
        <v>10412</v>
      </c>
      <c r="F10" s="84" t="s">
        <v>35</v>
      </c>
      <c r="G10" s="84" t="s">
        <v>10740</v>
      </c>
      <c r="H10" s="84" t="s">
        <v>14993</v>
      </c>
      <c r="I10" s="84"/>
      <c r="J10" s="84"/>
      <c r="K10" s="84"/>
      <c r="L10" s="84"/>
    </row>
    <row r="11" spans="1:32" ht="15" customHeight="1" thickBot="1" x14ac:dyDescent="0.25">
      <c r="A11" s="83" t="s">
        <v>15003</v>
      </c>
      <c r="B11" s="83" t="s">
        <v>10910</v>
      </c>
      <c r="C11" s="83" t="s">
        <v>10919</v>
      </c>
      <c r="D11" s="84" t="s">
        <v>10912</v>
      </c>
      <c r="E11" s="84" t="s">
        <v>3190</v>
      </c>
      <c r="F11" s="84" t="s">
        <v>35</v>
      </c>
      <c r="G11" s="84" t="s">
        <v>10920</v>
      </c>
      <c r="H11" s="84" t="s">
        <v>14998</v>
      </c>
      <c r="I11" s="84"/>
      <c r="J11" s="84"/>
      <c r="K11" s="84"/>
      <c r="L11" s="84"/>
    </row>
    <row r="12" spans="1:32" ht="15" customHeight="1" thickBot="1" x14ac:dyDescent="0.25">
      <c r="A12" s="83" t="s">
        <v>15004</v>
      </c>
      <c r="B12" s="83" t="s">
        <v>12624</v>
      </c>
      <c r="C12" s="83" t="s">
        <v>12973</v>
      </c>
      <c r="D12" s="84" t="s">
        <v>552</v>
      </c>
      <c r="E12" s="84" t="s">
        <v>14994</v>
      </c>
      <c r="F12" s="84" t="s">
        <v>35</v>
      </c>
      <c r="G12" s="84" t="s">
        <v>12977</v>
      </c>
      <c r="H12" s="84" t="s">
        <v>14993</v>
      </c>
      <c r="I12" s="84"/>
      <c r="J12" s="84"/>
      <c r="K12" s="84"/>
      <c r="L12" s="84"/>
    </row>
    <row r="13" spans="1:32" ht="27" customHeight="1" thickBot="1" x14ac:dyDescent="0.25">
      <c r="A13" s="83" t="s">
        <v>15006</v>
      </c>
      <c r="B13" s="83" t="s">
        <v>13085</v>
      </c>
      <c r="C13" s="83" t="s">
        <v>13093</v>
      </c>
      <c r="D13" s="84" t="s">
        <v>13094</v>
      </c>
      <c r="E13" s="84" t="s">
        <v>13091</v>
      </c>
      <c r="F13" s="84" t="s">
        <v>35</v>
      </c>
      <c r="G13" s="84" t="s">
        <v>13095</v>
      </c>
      <c r="H13" s="84" t="s">
        <v>14993</v>
      </c>
      <c r="I13" s="84"/>
      <c r="J13" s="84"/>
      <c r="K13" s="84"/>
      <c r="L13" s="84"/>
    </row>
    <row r="14" spans="1:32" ht="27" customHeight="1" thickBot="1" x14ac:dyDescent="0.25">
      <c r="A14" s="83" t="s">
        <v>15007</v>
      </c>
      <c r="B14" s="83" t="s">
        <v>13085</v>
      </c>
      <c r="C14" s="83" t="s">
        <v>13099</v>
      </c>
      <c r="D14" s="84" t="s">
        <v>13094</v>
      </c>
      <c r="E14" s="84" t="s">
        <v>13097</v>
      </c>
      <c r="F14" s="84" t="s">
        <v>35</v>
      </c>
      <c r="G14" s="84" t="s">
        <v>13100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13785</v>
      </c>
      <c r="C15" s="83" t="s">
        <v>14105</v>
      </c>
      <c r="D15" s="84" t="s">
        <v>1513</v>
      </c>
      <c r="E15" s="84" t="s">
        <v>14994</v>
      </c>
      <c r="F15" s="84" t="s">
        <v>35</v>
      </c>
      <c r="G15" s="84" t="s">
        <v>14106</v>
      </c>
      <c r="H15" s="84" t="s">
        <v>14995</v>
      </c>
      <c r="I15" s="84"/>
      <c r="J15" s="84"/>
      <c r="K15" s="84"/>
      <c r="L15" s="84"/>
    </row>
    <row r="16" spans="1:32" ht="27" customHeight="1" thickBot="1" x14ac:dyDescent="0.25">
      <c r="A16" s="83" t="s">
        <v>15009</v>
      </c>
      <c r="B16" s="83" t="s">
        <v>8159</v>
      </c>
      <c r="C16" s="83" t="s">
        <v>15015</v>
      </c>
      <c r="D16" s="84" t="s">
        <v>14994</v>
      </c>
      <c r="E16" s="84" t="s">
        <v>6690</v>
      </c>
      <c r="F16" s="84" t="s">
        <v>460</v>
      </c>
      <c r="G16" s="84" t="s">
        <v>8161</v>
      </c>
      <c r="H16" s="84" t="s">
        <v>14993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8865</v>
      </c>
      <c r="C17" s="83" t="s">
        <v>8923</v>
      </c>
      <c r="D17" s="84" t="s">
        <v>8924</v>
      </c>
      <c r="E17" s="84" t="s">
        <v>6675</v>
      </c>
      <c r="F17" s="84" t="s">
        <v>460</v>
      </c>
      <c r="G17" s="84" t="s">
        <v>8923</v>
      </c>
      <c r="H17" s="84" t="s">
        <v>14993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1711</v>
      </c>
      <c r="C18" s="83" t="s">
        <v>1712</v>
      </c>
      <c r="D18" s="84" t="s">
        <v>1718</v>
      </c>
      <c r="E18" s="84" t="s">
        <v>14994</v>
      </c>
      <c r="F18" s="84" t="s">
        <v>1714</v>
      </c>
      <c r="G18" s="84" t="s">
        <v>1719</v>
      </c>
      <c r="H18" s="84" t="s">
        <v>14993</v>
      </c>
      <c r="I18" s="84"/>
      <c r="J18" s="84"/>
      <c r="K18" s="84"/>
      <c r="L18" s="84"/>
    </row>
    <row r="19" spans="1:12" ht="15" customHeight="1" thickBot="1" x14ac:dyDescent="0.25">
      <c r="A19" s="83" t="s">
        <v>15011</v>
      </c>
      <c r="B19" s="83" t="s">
        <v>14211</v>
      </c>
      <c r="C19" s="83" t="s">
        <v>14225</v>
      </c>
      <c r="D19" s="84" t="s">
        <v>14226</v>
      </c>
      <c r="E19" s="84" t="s">
        <v>14219</v>
      </c>
      <c r="F19" s="84" t="s">
        <v>1714</v>
      </c>
      <c r="G19" s="84" t="s">
        <v>14228</v>
      </c>
      <c r="H19" s="84" t="s">
        <v>14993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9436</v>
      </c>
      <c r="C20" s="83" t="s">
        <v>9437</v>
      </c>
      <c r="D20" s="84" t="s">
        <v>14994</v>
      </c>
      <c r="E20" s="84" t="s">
        <v>14994</v>
      </c>
      <c r="F20" s="84" t="s">
        <v>9438</v>
      </c>
      <c r="G20" s="84" t="s">
        <v>14994</v>
      </c>
      <c r="H20" s="84" t="s">
        <v>14993</v>
      </c>
      <c r="I20" s="84"/>
      <c r="J20" s="84"/>
      <c r="K20" s="84"/>
      <c r="L20" s="84"/>
    </row>
    <row r="21" spans="1:12" ht="27" customHeight="1" thickBot="1" x14ac:dyDescent="0.25">
      <c r="A21" s="83" t="s">
        <v>15013</v>
      </c>
      <c r="B21" s="83" t="s">
        <v>15025</v>
      </c>
      <c r="C21" s="83" t="s">
        <v>1389</v>
      </c>
      <c r="D21" s="84" t="s">
        <v>14994</v>
      </c>
      <c r="E21" s="84" t="s">
        <v>14994</v>
      </c>
      <c r="F21" s="84" t="s">
        <v>395</v>
      </c>
      <c r="G21" s="84" t="s">
        <v>15026</v>
      </c>
      <c r="H21" s="84" t="s">
        <v>15079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1396</v>
      </c>
      <c r="C22" s="83" t="s">
        <v>1398</v>
      </c>
      <c r="D22" s="84" t="s">
        <v>14994</v>
      </c>
      <c r="E22" s="84" t="s">
        <v>14994</v>
      </c>
      <c r="F22" s="84" t="s">
        <v>395</v>
      </c>
      <c r="G22" s="84" t="s">
        <v>15029</v>
      </c>
      <c r="H22" s="84" t="s">
        <v>15065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1405</v>
      </c>
      <c r="C23" s="83" t="s">
        <v>1406</v>
      </c>
      <c r="D23" s="84" t="s">
        <v>14994</v>
      </c>
      <c r="E23" s="84" t="s">
        <v>14994</v>
      </c>
      <c r="F23" s="84" t="s">
        <v>395</v>
      </c>
      <c r="G23" s="84" t="s">
        <v>15034</v>
      </c>
      <c r="H23" s="84" t="s">
        <v>15080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1505</v>
      </c>
      <c r="C24" s="83" t="s">
        <v>1480</v>
      </c>
      <c r="D24" s="84" t="s">
        <v>14994</v>
      </c>
      <c r="E24" s="84" t="s">
        <v>1449</v>
      </c>
      <c r="F24" s="84" t="s">
        <v>395</v>
      </c>
      <c r="G24" s="84" t="s">
        <v>15037</v>
      </c>
      <c r="H24" s="84" t="s">
        <v>15003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5259</v>
      </c>
      <c r="C25" s="83" t="s">
        <v>5283</v>
      </c>
      <c r="D25" s="84" t="s">
        <v>14994</v>
      </c>
      <c r="E25" s="84" t="s">
        <v>14994</v>
      </c>
      <c r="F25" s="84" t="s">
        <v>395</v>
      </c>
      <c r="G25" s="84" t="s">
        <v>15039</v>
      </c>
      <c r="H25" s="84" t="s">
        <v>15009</v>
      </c>
      <c r="I25" s="84"/>
      <c r="J25" s="84"/>
      <c r="K25" s="84"/>
      <c r="L25" s="84"/>
    </row>
    <row r="26" spans="1:12" ht="27" customHeight="1" thickBot="1" x14ac:dyDescent="0.25">
      <c r="A26" s="83" t="s">
        <v>15019</v>
      </c>
      <c r="B26" s="83" t="s">
        <v>12336</v>
      </c>
      <c r="C26" s="83" t="s">
        <v>12337</v>
      </c>
      <c r="D26" s="84" t="s">
        <v>14994</v>
      </c>
      <c r="E26" s="84" t="s">
        <v>14994</v>
      </c>
      <c r="F26" s="84" t="s">
        <v>395</v>
      </c>
      <c r="G26" s="84" t="s">
        <v>15041</v>
      </c>
      <c r="H26" s="84" t="s">
        <v>15019</v>
      </c>
      <c r="I26" s="84"/>
      <c r="J26" s="84"/>
      <c r="K26" s="84"/>
      <c r="L26" s="84"/>
    </row>
    <row r="27" spans="1:12" ht="15" customHeight="1" thickBot="1" x14ac:dyDescent="0.25">
      <c r="A27" s="83" t="s">
        <v>15020</v>
      </c>
      <c r="B27" s="83" t="s">
        <v>12338</v>
      </c>
      <c r="C27" s="83" t="s">
        <v>12339</v>
      </c>
      <c r="D27" s="84" t="s">
        <v>14994</v>
      </c>
      <c r="E27" s="84" t="s">
        <v>14994</v>
      </c>
      <c r="F27" s="84" t="s">
        <v>395</v>
      </c>
      <c r="G27" s="84" t="s">
        <v>15043</v>
      </c>
      <c r="H27" s="84" t="s">
        <v>15040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13422</v>
      </c>
      <c r="C28" s="83" t="s">
        <v>3117</v>
      </c>
      <c r="D28" s="84" t="s">
        <v>14994</v>
      </c>
      <c r="E28" s="84" t="s">
        <v>14994</v>
      </c>
      <c r="F28" s="84" t="s">
        <v>395</v>
      </c>
      <c r="G28" s="84" t="s">
        <v>15047</v>
      </c>
      <c r="H28" s="84" t="s">
        <v>14993</v>
      </c>
      <c r="I28" s="84"/>
      <c r="J28" s="84"/>
      <c r="K28" s="84"/>
      <c r="L28" s="84"/>
    </row>
    <row r="29" spans="1:12" ht="27" customHeight="1" x14ac:dyDescent="0.2">
      <c r="A29" s="85" t="s">
        <v>15024</v>
      </c>
      <c r="B29" s="85" t="s">
        <v>14316</v>
      </c>
      <c r="C29" s="85" t="s">
        <v>14317</v>
      </c>
      <c r="D29" s="86" t="s">
        <v>14994</v>
      </c>
      <c r="E29" s="86" t="s">
        <v>14994</v>
      </c>
      <c r="F29" s="86" t="s">
        <v>395</v>
      </c>
      <c r="G29" s="86" t="s">
        <v>15039</v>
      </c>
      <c r="H29" s="86" t="s">
        <v>15009</v>
      </c>
      <c r="I29" s="86"/>
      <c r="J29" s="86"/>
      <c r="K29" s="86"/>
      <c r="L29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48</vt:i4>
      </vt:variant>
    </vt:vector>
  </HeadingPairs>
  <TitlesOfParts>
    <vt:vector size="62" baseType="lpstr">
      <vt:lpstr>CaratulaABB</vt:lpstr>
      <vt:lpstr>Total</vt:lpstr>
      <vt:lpstr>Referencia</vt:lpstr>
      <vt:lpstr>Q150003-10101</vt:lpstr>
      <vt:lpstr>Q150003-10201</vt:lpstr>
      <vt:lpstr>Q150003-10301</vt:lpstr>
      <vt:lpstr>Q150003-10401</vt:lpstr>
      <vt:lpstr>Q150003-10501</vt:lpstr>
      <vt:lpstr>Q150003-10601</vt:lpstr>
      <vt:lpstr>Q150003-10901</vt:lpstr>
      <vt:lpstr>Q150003-11001</vt:lpstr>
      <vt:lpstr>Q150003-11101</vt:lpstr>
      <vt:lpstr>Q150003-11201</vt:lpstr>
      <vt:lpstr>Q150003-11301</vt:lpstr>
      <vt:lpstr>'Q150003-10101'!FirstDataColumnBillOfMaterial</vt:lpstr>
      <vt:lpstr>'Q150003-10201'!FirstDataColumnBillOfMaterial</vt:lpstr>
      <vt:lpstr>'Q150003-10301'!FirstDataColumnBillOfMaterial</vt:lpstr>
      <vt:lpstr>'Q150003-10401'!FirstDataColumnBillOfMaterial</vt:lpstr>
      <vt:lpstr>'Q150003-10501'!FirstDataColumnBillOfMaterial</vt:lpstr>
      <vt:lpstr>'Q150003-10601'!FirstDataColumnBillOfMaterial</vt:lpstr>
      <vt:lpstr>'Q150003-10901'!FirstDataColumnBillOfMaterial</vt:lpstr>
      <vt:lpstr>'Q150003-11001'!FirstDataColumnBillOfMaterial</vt:lpstr>
      <vt:lpstr>'Q150003-11101'!FirstDataColumnBillOfMaterial</vt:lpstr>
      <vt:lpstr>'Q150003-11201'!FirstDataColumnBillOfMaterial</vt:lpstr>
      <vt:lpstr>'Q150003-11301'!FirstDataColumnBillOfMaterial</vt:lpstr>
      <vt:lpstr>'Q150003-10101'!FirstDataRowBillOfMaterial</vt:lpstr>
      <vt:lpstr>'Q150003-10201'!FirstDataRowBillOfMaterial</vt:lpstr>
      <vt:lpstr>'Q150003-10301'!FirstDataRowBillOfMaterial</vt:lpstr>
      <vt:lpstr>'Q150003-10401'!FirstDataRowBillOfMaterial</vt:lpstr>
      <vt:lpstr>'Q150003-10501'!FirstDataRowBillOfMaterial</vt:lpstr>
      <vt:lpstr>'Q150003-10601'!FirstDataRowBillOfMaterial</vt:lpstr>
      <vt:lpstr>'Q150003-10901'!FirstDataRowBillOfMaterial</vt:lpstr>
      <vt:lpstr>'Q150003-11001'!FirstDataRowBillOfMaterial</vt:lpstr>
      <vt:lpstr>'Q150003-11101'!FirstDataRowBillOfMaterial</vt:lpstr>
      <vt:lpstr>'Q150003-11201'!FirstDataRowBillOfMaterial</vt:lpstr>
      <vt:lpstr>'Q150003-11301'!FirstDataRowBillOfMaterial</vt:lpstr>
      <vt:lpstr>CaratulaABB!Print_Area</vt:lpstr>
      <vt:lpstr>'Q150003-10101'!Print_Area</vt:lpstr>
      <vt:lpstr>'Q150003-10201'!Print_Area</vt:lpstr>
      <vt:lpstr>'Q150003-10301'!Print_Area</vt:lpstr>
      <vt:lpstr>'Q150003-10401'!Print_Area</vt:lpstr>
      <vt:lpstr>'Q150003-10501'!Print_Area</vt:lpstr>
      <vt:lpstr>'Q150003-10601'!Print_Area</vt:lpstr>
      <vt:lpstr>'Q150003-10901'!Print_Area</vt:lpstr>
      <vt:lpstr>'Q150003-11001'!Print_Area</vt:lpstr>
      <vt:lpstr>'Q150003-11101'!Print_Area</vt:lpstr>
      <vt:lpstr>'Q150003-11201'!Print_Area</vt:lpstr>
      <vt:lpstr>'Q150003-11301'!Print_Area</vt:lpstr>
      <vt:lpstr>Referencia!Print_Area</vt:lpstr>
      <vt:lpstr>Total!Print_Area</vt:lpstr>
      <vt:lpstr>'Q150003-10101'!Print_Titles</vt:lpstr>
      <vt:lpstr>'Q150003-10201'!Print_Titles</vt:lpstr>
      <vt:lpstr>'Q150003-10301'!Print_Titles</vt:lpstr>
      <vt:lpstr>'Q150003-10401'!Print_Titles</vt:lpstr>
      <vt:lpstr>'Q150003-10501'!Print_Titles</vt:lpstr>
      <vt:lpstr>'Q150003-10601'!Print_Titles</vt:lpstr>
      <vt:lpstr>'Q150003-10901'!Print_Titles</vt:lpstr>
      <vt:lpstr>'Q150003-11001'!Print_Titles</vt:lpstr>
      <vt:lpstr>'Q150003-11101'!Print_Titles</vt:lpstr>
      <vt:lpstr>'Q150003-11201'!Print_Titles</vt:lpstr>
      <vt:lpstr>'Q150003-11301'!Print_Titles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Leonel Gomez</dc:creator>
  <cp:lastModifiedBy>Leonel Gomez</cp:lastModifiedBy>
  <cp:lastPrinted>2016-10-28T16:36:14Z</cp:lastPrinted>
  <dcterms:created xsi:type="dcterms:W3CDTF">2016-05-10T17:32:14Z</dcterms:created>
  <dcterms:modified xsi:type="dcterms:W3CDTF">2016-10-28T19:12:08Z</dcterms:modified>
</cp:coreProperties>
</file>